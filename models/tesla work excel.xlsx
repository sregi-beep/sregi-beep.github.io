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gis\Downloads\"/>
    </mc:Choice>
  </mc:AlternateContent>
  <xr:revisionPtr revIDLastSave="0" documentId="8_{8231E524-63CE-4B60-9CF6-72C32E84402D}" xr6:coauthVersionLast="47" xr6:coauthVersionMax="47" xr10:uidLastSave="{00000000-0000-0000-0000-000000000000}"/>
  <bookViews>
    <workbookView xWindow="-108" yWindow="-108" windowWidth="23256" windowHeight="12456" tabRatio="709" firstSheet="1" activeTab="8" xr2:uid="{00000000-000D-0000-FFFF-FFFF00000000}"/>
  </bookViews>
  <sheets>
    <sheet name="Summary" sheetId="1" r:id="rId1"/>
    <sheet name="Historical Financials" sheetId="2" r:id="rId2"/>
    <sheet name="3-Statement Model" sheetId="3" r:id="rId3"/>
    <sheet name="DCF" sheetId="4" r:id="rId4"/>
    <sheet name="Comps" sheetId="5" r:id="rId5"/>
    <sheet name="Precedents" sheetId="6" r:id="rId6"/>
    <sheet name="LBO Analysis" sheetId="7" r:id="rId7"/>
    <sheet name="M&amp;A Analysis" sheetId="8" r:id="rId8"/>
    <sheet name="Memo" sheetId="9" r:id="rId9"/>
    <sheet name="Sensitivity" sheetId="10" r:id="rId10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2" l="1"/>
  <c r="D9" i="2"/>
  <c r="E9" i="2"/>
  <c r="F9" i="2"/>
  <c r="B9" i="2"/>
  <c r="B12" i="2" s="1"/>
  <c r="B30" i="8"/>
  <c r="F14" i="6"/>
  <c r="F13" i="6"/>
  <c r="H14" i="5"/>
  <c r="G14" i="5"/>
  <c r="F14" i="5"/>
  <c r="G17" i="5"/>
  <c r="F17" i="5"/>
  <c r="G16" i="5"/>
  <c r="F16" i="5"/>
  <c r="E16" i="5"/>
  <c r="H27" i="10"/>
  <c r="G27" i="10"/>
  <c r="F27" i="10"/>
  <c r="E27" i="10"/>
  <c r="D27" i="10"/>
  <c r="C27" i="10"/>
  <c r="H26" i="10"/>
  <c r="G26" i="10"/>
  <c r="F26" i="10"/>
  <c r="E26" i="10"/>
  <c r="D26" i="10"/>
  <c r="C26" i="10"/>
  <c r="H25" i="10"/>
  <c r="G25" i="10"/>
  <c r="F25" i="10"/>
  <c r="E25" i="10"/>
  <c r="D25" i="10"/>
  <c r="C25" i="10"/>
  <c r="H24" i="10"/>
  <c r="G24" i="10"/>
  <c r="F24" i="10"/>
  <c r="E24" i="10"/>
  <c r="D24" i="10"/>
  <c r="C24" i="10"/>
  <c r="H23" i="10"/>
  <c r="G23" i="10"/>
  <c r="F23" i="10"/>
  <c r="E23" i="10"/>
  <c r="D23" i="10"/>
  <c r="C23" i="10"/>
  <c r="H18" i="10"/>
  <c r="G18" i="10"/>
  <c r="F18" i="10"/>
  <c r="E18" i="10"/>
  <c r="D18" i="10"/>
  <c r="C18" i="10"/>
  <c r="H17" i="10"/>
  <c r="G17" i="10"/>
  <c r="F17" i="10"/>
  <c r="E17" i="10"/>
  <c r="D17" i="10"/>
  <c r="C17" i="10"/>
  <c r="H16" i="10"/>
  <c r="G16" i="10"/>
  <c r="F16" i="10"/>
  <c r="E16" i="10"/>
  <c r="D16" i="10"/>
  <c r="C16" i="10"/>
  <c r="H15" i="10"/>
  <c r="G15" i="10"/>
  <c r="F15" i="10"/>
  <c r="E15" i="10"/>
  <c r="D15" i="10"/>
  <c r="C15" i="10"/>
  <c r="H14" i="10"/>
  <c r="G14" i="10"/>
  <c r="F14" i="10"/>
  <c r="E14" i="10"/>
  <c r="D14" i="10"/>
  <c r="C14" i="10"/>
  <c r="B54" i="9"/>
  <c r="B53" i="9"/>
  <c r="B7" i="9"/>
  <c r="B39" i="8"/>
  <c r="B32" i="8"/>
  <c r="B34" i="8" s="1"/>
  <c r="B36" i="8" s="1"/>
  <c r="F23" i="8"/>
  <c r="E23" i="8"/>
  <c r="D23" i="8"/>
  <c r="C23" i="8"/>
  <c r="B23" i="8"/>
  <c r="F15" i="8"/>
  <c r="E15" i="8"/>
  <c r="E25" i="8" s="1"/>
  <c r="D15" i="8"/>
  <c r="C15" i="8"/>
  <c r="B15" i="8"/>
  <c r="B25" i="8" s="1"/>
  <c r="B6" i="7"/>
  <c r="B5" i="7"/>
  <c r="D29" i="6"/>
  <c r="C29" i="6"/>
  <c r="B29" i="6"/>
  <c r="B24" i="6"/>
  <c r="B19" i="6"/>
  <c r="D26" i="6" s="1"/>
  <c r="G14" i="6"/>
  <c r="E14" i="6"/>
  <c r="C24" i="6" s="1"/>
  <c r="G13" i="6"/>
  <c r="E13" i="6"/>
  <c r="D24" i="6" s="1"/>
  <c r="D33" i="5"/>
  <c r="C33" i="5"/>
  <c r="B33" i="5"/>
  <c r="C31" i="5"/>
  <c r="B24" i="5"/>
  <c r="D31" i="5" s="1"/>
  <c r="E17" i="5"/>
  <c r="D29" i="5" s="1"/>
  <c r="B29" i="5"/>
  <c r="H15" i="5"/>
  <c r="G15" i="5"/>
  <c r="F15" i="5"/>
  <c r="E15" i="5"/>
  <c r="C29" i="5" s="1"/>
  <c r="E14" i="5"/>
  <c r="D49" i="4"/>
  <c r="C49" i="4"/>
  <c r="B49" i="4"/>
  <c r="B47" i="4"/>
  <c r="D47" i="4" s="1"/>
  <c r="B7" i="4"/>
  <c r="B10" i="4" s="1"/>
  <c r="B33" i="3"/>
  <c r="C14" i="3"/>
  <c r="C34" i="3" s="1"/>
  <c r="B14" i="3"/>
  <c r="B18" i="6" s="1"/>
  <c r="C13" i="3"/>
  <c r="D13" i="3" s="1"/>
  <c r="E13" i="3" s="1"/>
  <c r="F13" i="3" s="1"/>
  <c r="G13" i="3" s="1"/>
  <c r="C12" i="3"/>
  <c r="D12" i="3" s="1"/>
  <c r="E11" i="3"/>
  <c r="D11" i="3"/>
  <c r="C11" i="3"/>
  <c r="F35" i="2"/>
  <c r="B55" i="9" s="1"/>
  <c r="E35" i="2"/>
  <c r="D35" i="2"/>
  <c r="C35" i="2"/>
  <c r="B35" i="2"/>
  <c r="B22" i="2"/>
  <c r="B19" i="2"/>
  <c r="B16" i="2"/>
  <c r="F15" i="2"/>
  <c r="F16" i="2" s="1"/>
  <c r="E15" i="2"/>
  <c r="D15" i="2"/>
  <c r="C15" i="2"/>
  <c r="B15" i="2"/>
  <c r="F22" i="2"/>
  <c r="E22" i="2"/>
  <c r="D22" i="2"/>
  <c r="C12" i="2"/>
  <c r="B17" i="1"/>
  <c r="E16" i="2" l="1"/>
  <c r="F25" i="8"/>
  <c r="C25" i="8"/>
  <c r="B41" i="8"/>
  <c r="D25" i="8"/>
  <c r="F22" i="4"/>
  <c r="C22" i="4"/>
  <c r="E22" i="4"/>
  <c r="D22" i="4"/>
  <c r="B22" i="4"/>
  <c r="B8" i="7"/>
  <c r="E12" i="3"/>
  <c r="F12" i="3" s="1"/>
  <c r="G12" i="3" s="1"/>
  <c r="D14" i="3"/>
  <c r="E14" i="3"/>
  <c r="D25" i="6"/>
  <c r="D28" i="6" s="1"/>
  <c r="C25" i="6"/>
  <c r="C28" i="6" s="1"/>
  <c r="B25" i="6"/>
  <c r="C47" i="4"/>
  <c r="E12" i="2"/>
  <c r="C19" i="3"/>
  <c r="F12" i="2"/>
  <c r="C16" i="3"/>
  <c r="C23" i="3"/>
  <c r="C33" i="3" s="1"/>
  <c r="C19" i="2"/>
  <c r="E19" i="2"/>
  <c r="B52" i="9"/>
  <c r="B56" i="9" s="1"/>
  <c r="C22" i="2"/>
  <c r="B17" i="3"/>
  <c r="B20" i="3" s="1"/>
  <c r="D12" i="2"/>
  <c r="B16" i="3"/>
  <c r="D19" i="2"/>
  <c r="F19" i="2"/>
  <c r="C52" i="9"/>
  <c r="B31" i="5"/>
  <c r="B21" i="5"/>
  <c r="B26" i="6"/>
  <c r="C26" i="6"/>
  <c r="F11" i="3"/>
  <c r="C16" i="2"/>
  <c r="D16" i="2"/>
  <c r="C37" i="3"/>
  <c r="B7" i="7"/>
  <c r="C17" i="3"/>
  <c r="C20" i="3" s="1"/>
  <c r="C30" i="6" l="1"/>
  <c r="C14" i="1" s="1"/>
  <c r="D37" i="3"/>
  <c r="D52" i="9"/>
  <c r="D16" i="3"/>
  <c r="D17" i="3" s="1"/>
  <c r="D20" i="3" s="1"/>
  <c r="D19" i="3"/>
  <c r="D23" i="3"/>
  <c r="D33" i="3" s="1"/>
  <c r="D34" i="3"/>
  <c r="B12" i="7"/>
  <c r="B13" i="7"/>
  <c r="D30" i="6"/>
  <c r="D14" i="1" s="1"/>
  <c r="D30" i="5"/>
  <c r="D32" i="5" s="1"/>
  <c r="C30" i="5"/>
  <c r="C32" i="5" s="1"/>
  <c r="B30" i="5"/>
  <c r="B32" i="5" s="1"/>
  <c r="B22" i="5"/>
  <c r="B24" i="3"/>
  <c r="E37" i="3"/>
  <c r="E16" i="3"/>
  <c r="E17" i="3" s="1"/>
  <c r="E20" i="3" s="1"/>
  <c r="E24" i="3" s="1"/>
  <c r="E19" i="3"/>
  <c r="E34" i="3"/>
  <c r="E23" i="3"/>
  <c r="E33" i="3" s="1"/>
  <c r="F14" i="3"/>
  <c r="G11" i="3"/>
  <c r="G14" i="3" s="1"/>
  <c r="C24" i="3"/>
  <c r="C53" i="9"/>
  <c r="C56" i="9" s="1"/>
  <c r="B28" i="6"/>
  <c r="E27" i="3" l="1"/>
  <c r="E28" i="3" s="1"/>
  <c r="E32" i="3" s="1"/>
  <c r="E35" i="3" s="1"/>
  <c r="E38" i="3" s="1"/>
  <c r="D53" i="9"/>
  <c r="D56" i="9" s="1"/>
  <c r="D24" i="3"/>
  <c r="D33" i="7"/>
  <c r="C33" i="7"/>
  <c r="B33" i="7"/>
  <c r="B27" i="3"/>
  <c r="B28" i="3"/>
  <c r="B34" i="5"/>
  <c r="B13" i="1" s="1"/>
  <c r="C34" i="5"/>
  <c r="C13" i="1" s="1"/>
  <c r="C42" i="7"/>
  <c r="B42" i="7"/>
  <c r="B20" i="7"/>
  <c r="C20" i="7" s="1"/>
  <c r="B19" i="7"/>
  <c r="C19" i="7" s="1"/>
  <c r="F42" i="7"/>
  <c r="E42" i="7"/>
  <c r="B18" i="7"/>
  <c r="D42" i="7"/>
  <c r="B30" i="6"/>
  <c r="B14" i="1" s="1"/>
  <c r="C27" i="3"/>
  <c r="C28" i="3"/>
  <c r="G16" i="3"/>
  <c r="G19" i="3"/>
  <c r="G23" i="3"/>
  <c r="G33" i="3" s="1"/>
  <c r="G34" i="3"/>
  <c r="G37" i="3"/>
  <c r="G17" i="3"/>
  <c r="G20" i="3" s="1"/>
  <c r="D34" i="5"/>
  <c r="D13" i="1" s="1"/>
  <c r="F16" i="3"/>
  <c r="F17" i="3" s="1"/>
  <c r="F20" i="3" s="1"/>
  <c r="F24" i="3" s="1"/>
  <c r="F19" i="3"/>
  <c r="F23" i="3"/>
  <c r="F33" i="3" s="1"/>
  <c r="F34" i="3"/>
  <c r="F37" i="3"/>
  <c r="F27" i="3" l="1"/>
  <c r="F28" i="3" s="1"/>
  <c r="F32" i="3" s="1"/>
  <c r="F35" i="3" s="1"/>
  <c r="F38" i="3" s="1"/>
  <c r="D41" i="7"/>
  <c r="D43" i="7" s="1"/>
  <c r="D44" i="7" s="1"/>
  <c r="D45" i="7" s="1"/>
  <c r="D19" i="4"/>
  <c r="D23" i="4" s="1"/>
  <c r="D27" i="7"/>
  <c r="D28" i="7" s="1"/>
  <c r="D30" i="7" s="1"/>
  <c r="D34" i="7" s="1"/>
  <c r="D35" i="7" s="1"/>
  <c r="D36" i="7" s="1"/>
  <c r="C27" i="7"/>
  <c r="C28" i="7" s="1"/>
  <c r="C30" i="7" s="1"/>
  <c r="C34" i="7" s="1"/>
  <c r="C35" i="7" s="1"/>
  <c r="C36" i="7" s="1"/>
  <c r="G24" i="3"/>
  <c r="B37" i="4"/>
  <c r="B38" i="4" s="1"/>
  <c r="B39" i="4" s="1"/>
  <c r="D45" i="4" s="1"/>
  <c r="B27" i="7"/>
  <c r="B28" i="7" s="1"/>
  <c r="B30" i="7" s="1"/>
  <c r="B34" i="7" s="1"/>
  <c r="B35" i="7" s="1"/>
  <c r="B36" i="7" s="1"/>
  <c r="D27" i="3"/>
  <c r="D28" i="3" s="1"/>
  <c r="B21" i="7"/>
  <c r="C18" i="7"/>
  <c r="B32" i="3"/>
  <c r="B35" i="3" s="1"/>
  <c r="B38" i="3" s="1"/>
  <c r="B23" i="5"/>
  <c r="C54" i="9"/>
  <c r="C32" i="3"/>
  <c r="C35" i="3" s="1"/>
  <c r="C38" i="3" s="1"/>
  <c r="B40" i="8"/>
  <c r="D54" i="9" l="1"/>
  <c r="D32" i="3"/>
  <c r="D35" i="3" s="1"/>
  <c r="D38" i="3" s="1"/>
  <c r="E41" i="7"/>
  <c r="E43" i="7" s="1"/>
  <c r="E44" i="7" s="1"/>
  <c r="E45" i="7" s="1"/>
  <c r="E19" i="4"/>
  <c r="E23" i="4" s="1"/>
  <c r="B42" i="8"/>
  <c r="B44" i="8" s="1"/>
  <c r="B19" i="4"/>
  <c r="B23" i="4" s="1"/>
  <c r="B41" i="7"/>
  <c r="B43" i="7" s="1"/>
  <c r="B44" i="7" s="1"/>
  <c r="B45" i="7" s="1"/>
  <c r="B46" i="7" s="1"/>
  <c r="C55" i="9"/>
  <c r="G27" i="3"/>
  <c r="G28" i="3" s="1"/>
  <c r="G32" i="3" s="1"/>
  <c r="G35" i="3" s="1"/>
  <c r="G38" i="3" s="1"/>
  <c r="F41" i="7" l="1"/>
  <c r="F43" i="7" s="1"/>
  <c r="F44" i="7" s="1"/>
  <c r="F45" i="7" s="1"/>
  <c r="F19" i="4"/>
  <c r="C41" i="7"/>
  <c r="C43" i="7" s="1"/>
  <c r="C44" i="7" s="1"/>
  <c r="C45" i="7" s="1"/>
  <c r="C46" i="7" s="1"/>
  <c r="D46" i="7" s="1"/>
  <c r="E46" i="7" s="1"/>
  <c r="F46" i="7" s="1"/>
  <c r="C19" i="4"/>
  <c r="C23" i="4" s="1"/>
  <c r="D55" i="9"/>
  <c r="G5" i="10" l="1"/>
  <c r="F7" i="10"/>
  <c r="F5" i="10"/>
  <c r="E9" i="10"/>
  <c r="E7" i="10"/>
  <c r="C5" i="10"/>
  <c r="H6" i="10"/>
  <c r="G8" i="10"/>
  <c r="G6" i="10"/>
  <c r="F8" i="10"/>
  <c r="B31" i="4"/>
  <c r="B32" i="4" s="1"/>
  <c r="B33" i="4" s="1"/>
  <c r="F23" i="4"/>
  <c r="B25" i="4" s="1"/>
  <c r="C8" i="10"/>
  <c r="C6" i="10"/>
  <c r="D44" i="4" l="1"/>
  <c r="D46" i="4" s="1"/>
  <c r="D48" i="4" s="1"/>
  <c r="C44" i="4"/>
  <c r="B44" i="4"/>
  <c r="H8" i="10"/>
  <c r="F9" i="10"/>
  <c r="D8" i="10"/>
  <c r="G9" i="10"/>
  <c r="C7" i="10"/>
  <c r="D5" i="10"/>
  <c r="H5" i="10"/>
  <c r="G7" i="10"/>
  <c r="D7" i="10"/>
  <c r="H7" i="10"/>
  <c r="C9" i="10"/>
  <c r="E8" i="10"/>
  <c r="D9" i="10"/>
  <c r="H9" i="10"/>
  <c r="D6" i="10"/>
  <c r="E6" i="10"/>
  <c r="C45" i="4"/>
  <c r="B45" i="4"/>
  <c r="F6" i="10"/>
  <c r="E5" i="10"/>
  <c r="B46" i="4" l="1"/>
  <c r="B48" i="4" s="1"/>
  <c r="C46" i="4"/>
  <c r="C48" i="4" s="1"/>
  <c r="D50" i="4"/>
  <c r="D12" i="1" s="1"/>
  <c r="C50" i="4" l="1"/>
  <c r="B50" i="4"/>
  <c r="B12" i="1" s="1"/>
  <c r="C12" i="1" l="1"/>
  <c r="B6" i="9"/>
  <c r="B18" i="1" l="1"/>
  <c r="B19" i="1" s="1"/>
  <c r="B8" i="9"/>
</calcChain>
</file>

<file path=xl/sharedStrings.xml><?xml version="1.0" encoding="utf-8"?>
<sst xmlns="http://schemas.openxmlformats.org/spreadsheetml/2006/main" count="355" uniqueCount="306">
  <si>
    <t>TESLA, INC.</t>
  </si>
  <si>
    <t>Investment Banking Analysis</t>
  </si>
  <si>
    <t>As of: February 01, 2026</t>
  </si>
  <si>
    <t>Company:</t>
  </si>
  <si>
    <t>Tesla, Inc.</t>
  </si>
  <si>
    <t>Ticker:</t>
  </si>
  <si>
    <t>TSLA</t>
  </si>
  <si>
    <t>Current Stock Price:</t>
  </si>
  <si>
    <t>Shares Outstanding (mm):</t>
  </si>
  <si>
    <t>Valuation Summary</t>
  </si>
  <si>
    <t>Method</t>
  </si>
  <si>
    <t>Low</t>
  </si>
  <si>
    <t>Mid</t>
  </si>
  <si>
    <t>High</t>
  </si>
  <si>
    <t>DCF Valuation (per share)</t>
  </si>
  <si>
    <t>Comparable Companies (per share)</t>
  </si>
  <si>
    <t>Precedent Transactions (per share)</t>
  </si>
  <si>
    <t>Recommendation</t>
  </si>
  <si>
    <t>Rating:</t>
  </si>
  <si>
    <t>Target Price:</t>
  </si>
  <si>
    <t>Upside/Downside:</t>
  </si>
  <si>
    <t>TESLA, INC. - HISTORICAL FINANCIALS</t>
  </si>
  <si>
    <t>Source: Q4 2025 Earnings Report</t>
  </si>
  <si>
    <t>Income Statement ($mm)</t>
  </si>
  <si>
    <t>Total Automotive Revenues</t>
  </si>
  <si>
    <t>Energy Storage Revenues</t>
  </si>
  <si>
    <t>Services and Other</t>
  </si>
  <si>
    <t>Total Revenues</t>
  </si>
  <si>
    <t>Total Gross Profit</t>
  </si>
  <si>
    <t>Gross Margin %</t>
  </si>
  <si>
    <t>Operating Expenses</t>
  </si>
  <si>
    <t>Income from Operations</t>
  </si>
  <si>
    <t>Operating Margin %</t>
  </si>
  <si>
    <t>Net Income</t>
  </si>
  <si>
    <t>Net Margin %</t>
  </si>
  <si>
    <t>Adjusted EBITDA</t>
  </si>
  <si>
    <t>EBITDA Margin %</t>
  </si>
  <si>
    <t>Balance Sheet ($mm)</t>
  </si>
  <si>
    <t>Cash and Investments</t>
  </si>
  <si>
    <t>Total Assets</t>
  </si>
  <si>
    <t>Total Debt</t>
  </si>
  <si>
    <t>Shareholders Equity</t>
  </si>
  <si>
    <t>Cash Flow ($mm)</t>
  </si>
  <si>
    <t>Operating Cash Flow</t>
  </si>
  <si>
    <t>Capital Expenditures</t>
  </si>
  <si>
    <t>Free Cash Flow</t>
  </si>
  <si>
    <t>TESLA, INC. - 3-STATEMENT FINANCIAL MODEL</t>
  </si>
  <si>
    <t>Projections: 2026E - 2030E</t>
  </si>
  <si>
    <t>Key Assumptions</t>
  </si>
  <si>
    <t>Revenue Growth Rate</t>
  </si>
  <si>
    <t>OpEx as % of Revenue</t>
  </si>
  <si>
    <t>Historical
2025A</t>
  </si>
  <si>
    <t>2026E</t>
  </si>
  <si>
    <t>2027E</t>
  </si>
  <si>
    <t>2028E</t>
  </si>
  <si>
    <t>2029E</t>
  </si>
  <si>
    <t>2030E</t>
  </si>
  <si>
    <t>Automotive Revenues</t>
  </si>
  <si>
    <t>Cost of Revenues</t>
  </si>
  <si>
    <t>Gross Profit</t>
  </si>
  <si>
    <t>EBITDA</t>
  </si>
  <si>
    <t>Depreciation &amp; Amortization</t>
  </si>
  <si>
    <t>EBIT</t>
  </si>
  <si>
    <t>Interest Expense</t>
  </si>
  <si>
    <t>Taxes</t>
  </si>
  <si>
    <t>Cash Flow Statement ($mm)</t>
  </si>
  <si>
    <t>D&amp;A</t>
  </si>
  <si>
    <t>Change in NWC</t>
  </si>
  <si>
    <t>Capex</t>
  </si>
  <si>
    <t>TESLA, INC. - DCF VALUATION ANALYSIS</t>
  </si>
  <si>
    <t>WACC Assumptions</t>
  </si>
  <si>
    <t>Risk-Free Rate</t>
  </si>
  <si>
    <t>Market Risk Premium</t>
  </si>
  <si>
    <t>Beta</t>
  </si>
  <si>
    <t>Cost of Equity</t>
  </si>
  <si>
    <t>Cost of Debt (after-tax)</t>
  </si>
  <si>
    <t>Target D/E Ratio</t>
  </si>
  <si>
    <t>WACC</t>
  </si>
  <si>
    <t>Terminal Value Assumptions</t>
  </si>
  <si>
    <t>Terminal Growth Rate</t>
  </si>
  <si>
    <t>Terminal EBITDA Multiple</t>
  </si>
  <si>
    <t>Free Cash Flow Projections ($mm)</t>
  </si>
  <si>
    <t>Discount Period</t>
  </si>
  <si>
    <t>Discount Factor</t>
  </si>
  <si>
    <t>PV of FCF</t>
  </si>
  <si>
    <t>Sum of PV of FCF</t>
  </si>
  <si>
    <t>Terminal Value Calculation</t>
  </si>
  <si>
    <t>Method 1: Perpetuity Growth</t>
  </si>
  <si>
    <t>2030E FCF</t>
  </si>
  <si>
    <t>Terminal Value</t>
  </si>
  <si>
    <t>PV of Terminal Value</t>
  </si>
  <si>
    <t>Method 2: Exit Multiple</t>
  </si>
  <si>
    <t>2030E EBITDA</t>
  </si>
  <si>
    <t>Enterprise Value Calculation</t>
  </si>
  <si>
    <t>Bear</t>
  </si>
  <si>
    <t>Base</t>
  </si>
  <si>
    <t>Bull</t>
  </si>
  <si>
    <t>PV of FCF (2026E-2030E)</t>
  </si>
  <si>
    <t>Enterprise Value</t>
  </si>
  <si>
    <t>Less: Net Debt</t>
  </si>
  <si>
    <t>Equity Value</t>
  </si>
  <si>
    <t>Shares Outstanding (mm)</t>
  </si>
  <si>
    <t>Price per Share</t>
  </si>
  <si>
    <t>COMPARABLE COMPANIES ANALYSIS</t>
  </si>
  <si>
    <t>As of January 31, 2026</t>
  </si>
  <si>
    <t>Trading Multiples</t>
  </si>
  <si>
    <t>Company</t>
  </si>
  <si>
    <t>Ticker</t>
  </si>
  <si>
    <t>Market Cap
($mm)</t>
  </si>
  <si>
    <t>EV
($mm)</t>
  </si>
  <si>
    <t>EV/Revenue
2025E</t>
  </si>
  <si>
    <t>EV/EBITDA
2025E</t>
  </si>
  <si>
    <t>P/E
2025E</t>
  </si>
  <si>
    <t>Revenue Growth
2025E</t>
  </si>
  <si>
    <t>General Motors</t>
  </si>
  <si>
    <t>GM</t>
  </si>
  <si>
    <t>Ford Motor</t>
  </si>
  <si>
    <t>F</t>
  </si>
  <si>
    <t>Toyota Motor</t>
  </si>
  <si>
    <t>TM</t>
  </si>
  <si>
    <t>BYD Company</t>
  </si>
  <si>
    <t>BYDDY</t>
  </si>
  <si>
    <t>NIO Inc.</t>
  </si>
  <si>
    <t>NIO</t>
  </si>
  <si>
    <t>Rivian</t>
  </si>
  <si>
    <t>RIVN</t>
  </si>
  <si>
    <t>Lucid Group</t>
  </si>
  <si>
    <t>LCID</t>
  </si>
  <si>
    <t>Mean</t>
  </si>
  <si>
    <t>Median</t>
  </si>
  <si>
    <t>25th Percentile</t>
  </si>
  <si>
    <t>75th Percentile</t>
  </si>
  <si>
    <t>TESLA VALUATION</t>
  </si>
  <si>
    <t>2025E Revenue ($mm)</t>
  </si>
  <si>
    <t>2025E EBITDA ($mm)</t>
  </si>
  <si>
    <t>2025E Net Income ($mm)</t>
  </si>
  <si>
    <t>Net Debt ($mm)</t>
  </si>
  <si>
    <t>Implied Valuation</t>
  </si>
  <si>
    <t>EV/Revenue Multiple</t>
  </si>
  <si>
    <t>Implied Enterprise Value</t>
  </si>
  <si>
    <t>Implied Equity Value</t>
  </si>
  <si>
    <t>Implied Price per Share</t>
  </si>
  <si>
    <t>PRECEDENT TRANSACTIONS ANALYSIS</t>
  </si>
  <si>
    <t>EV Automotive &amp; Technology Sector M&amp;A (2020-2025)</t>
  </si>
  <si>
    <t>Transaction Overview</t>
  </si>
  <si>
    <t>Date</t>
  </si>
  <si>
    <t>Target</t>
  </si>
  <si>
    <t>Acquirer</t>
  </si>
  <si>
    <t>Deal Value
($mm)</t>
  </si>
  <si>
    <t>EV/Revenue</t>
  </si>
  <si>
    <t>EV/EBITDA</t>
  </si>
  <si>
    <t>Premium
%</t>
  </si>
  <si>
    <t>Synergies
($mm)</t>
  </si>
  <si>
    <t>Apr-2024</t>
  </si>
  <si>
    <t>Waymo Fleet</t>
  </si>
  <si>
    <t>Alphabet</t>
  </si>
  <si>
    <t>Sep-2023</t>
  </si>
  <si>
    <t>Cruise (Stake)</t>
  </si>
  <si>
    <t>Jun-2023</t>
  </si>
  <si>
    <t>Argo AI</t>
  </si>
  <si>
    <t>Ford/VW</t>
  </si>
  <si>
    <t>Mar-2022</t>
  </si>
  <si>
    <t>Aurora Innovation</t>
  </si>
  <si>
    <t>Various</t>
  </si>
  <si>
    <t>Nov-2021</t>
  </si>
  <si>
    <t>Zoox</t>
  </si>
  <si>
    <t>Amazon</t>
  </si>
  <si>
    <t>Aug-2020</t>
  </si>
  <si>
    <t>Self-Driving Unit</t>
  </si>
  <si>
    <t>Uber/Aurora</t>
  </si>
  <si>
    <t>TESLA IMPLIED VALUATION</t>
  </si>
  <si>
    <t>Control Premium (M&amp;A Only)</t>
  </si>
  <si>
    <t>LEVERAGED BUYOUT ANALYSIS</t>
  </si>
  <si>
    <t>Transaction Assumptions</t>
  </si>
  <si>
    <t>Purchase Price per Share</t>
  </si>
  <si>
    <t>Equity Purchase Price</t>
  </si>
  <si>
    <t>Plus: Transaction Fees (2%)</t>
  </si>
  <si>
    <t>Total Uses</t>
  </si>
  <si>
    <t>Sources of Funds</t>
  </si>
  <si>
    <t>Equity Contribution (%)</t>
  </si>
  <si>
    <t>Equity Amount</t>
  </si>
  <si>
    <t>Debt Financing</t>
  </si>
  <si>
    <t>Debt Structure</t>
  </si>
  <si>
    <t>Tranche</t>
  </si>
  <si>
    <t>Amount ($mm)</t>
  </si>
  <si>
    <t>% of Total</t>
  </si>
  <si>
    <t>Rate</t>
  </si>
  <si>
    <t>Maturity</t>
  </si>
  <si>
    <t>Senior Secured</t>
  </si>
  <si>
    <t>Senior Unsecured</t>
  </si>
  <si>
    <t>Subordinated Debt</t>
  </si>
  <si>
    <t>Exit Scenarios (Year 5)</t>
  </si>
  <si>
    <t>Exit EBITDA Multiple</t>
  </si>
  <si>
    <t>Enterprise Value at Exit</t>
  </si>
  <si>
    <t>Less: Net Debt at Exit</t>
  </si>
  <si>
    <t>Equity Value at Exit</t>
  </si>
  <si>
    <t>Returns Analysis</t>
  </si>
  <si>
    <t>Initial Equity Investment</t>
  </si>
  <si>
    <t>Exit Equity Value</t>
  </si>
  <si>
    <t>Cash-on-Cash (MOIC)</t>
  </si>
  <si>
    <t>IRR</t>
  </si>
  <si>
    <t>Cash Flow Sweep Analysis</t>
  </si>
  <si>
    <t>Year</t>
  </si>
  <si>
    <t>Mandatory Amortization (5%)</t>
  </si>
  <si>
    <t>Cash Available for Sweep</t>
  </si>
  <si>
    <t>Optional Prepayment (50%)</t>
  </si>
  <si>
    <t>Total Debt Paydown</t>
  </si>
  <si>
    <t>Remaining Debt Balance</t>
  </si>
  <si>
    <t>M&amp;A / STRATEGIC ANALYSIS</t>
  </si>
  <si>
    <t>Strategic Rationale</t>
  </si>
  <si>
    <t>1. Market Leadership in EV Technology</t>
  </si>
  <si>
    <t>2. Vertical Integration &amp; Manufacturing Excellence</t>
  </si>
  <si>
    <t>3. AI &amp; Autonomous Driving Leadership</t>
  </si>
  <si>
    <t>4. Energy Storage Growth Platform</t>
  </si>
  <si>
    <t>5. Global Manufacturing &amp; Distribution Network</t>
  </si>
  <si>
    <t>Revenue Synergies ($mm)</t>
  </si>
  <si>
    <t>Year 1</t>
  </si>
  <si>
    <t>Year 2</t>
  </si>
  <si>
    <t>Year 3</t>
  </si>
  <si>
    <t>Year 4</t>
  </si>
  <si>
    <t>Year 5</t>
  </si>
  <si>
    <t>Cross-selling to existing customers</t>
  </si>
  <si>
    <t>New market penetration</t>
  </si>
  <si>
    <t>Technology licensing</t>
  </si>
  <si>
    <t>Total Revenue Synergies</t>
  </si>
  <si>
    <t>Cost Synergies ($mm)</t>
  </si>
  <si>
    <t>Procurement &amp; supply chain</t>
  </si>
  <si>
    <t>Duplicate overhead elimination</t>
  </si>
  <si>
    <t>Manufacturing efficiencies</t>
  </si>
  <si>
    <t>R&amp;D consolidation</t>
  </si>
  <si>
    <t>Total Cost Synergies</t>
  </si>
  <si>
    <t>Total Synergies (EBITDA Impact)</t>
  </si>
  <si>
    <t>Accretion / Dilution Analysis</t>
  </si>
  <si>
    <t>Acquirer 2026E EPS</t>
  </si>
  <si>
    <t>Tesla 2026E EPS</t>
  </si>
  <si>
    <t>Tesla Shares Outstanding (mm)</t>
  </si>
  <si>
    <t>Exchange Ratio (Acquirer shares)</t>
  </si>
  <si>
    <t>New Shares Issued (mm)</t>
  </si>
  <si>
    <t>Acquirer Shares Pre-Deal (mm)</t>
  </si>
  <si>
    <t>Pro Forma Shares (mm)</t>
  </si>
  <si>
    <t>Pro Forma EPS Calculation</t>
  </si>
  <si>
    <t>Acquirer Stand-Alone EPS</t>
  </si>
  <si>
    <t>Tesla Contribution</t>
  </si>
  <si>
    <t>Synergies Contribution (Year 1)</t>
  </si>
  <si>
    <t>Pro Forma EPS</t>
  </si>
  <si>
    <t>Accretion / (Dilution)</t>
  </si>
  <si>
    <t>INVESTMENT MEMORANDUM</t>
  </si>
  <si>
    <t>TESLA, INC. (NASDAQ: TSLA)</t>
  </si>
  <si>
    <t>Date: February 01, 2026</t>
  </si>
  <si>
    <t>RECOMMENDATION:</t>
  </si>
  <si>
    <t>HOLD</t>
  </si>
  <si>
    <t>TARGET PRICE (DCF + Comps Avg):</t>
  </si>
  <si>
    <t>CURRENT PRICE:</t>
  </si>
  <si>
    <t>UPSIDE/(DOWNSIDE):</t>
  </si>
  <si>
    <t>EXECUTIVE SUMMARY</t>
  </si>
  <si>
    <t>Tesla represents a transformational investment at the intersection of automotive,</t>
  </si>
  <si>
    <t>artificial intelligence, energy storage, and robotics. While the company faces near-term</t>
  </si>
  <si>
    <t>headwinds from automotive margin compression and delivery challenges, the long-term</t>
  </si>
  <si>
    <t>value proposition remains compelling driven by:</t>
  </si>
  <si>
    <t>• Leadership position in autonomous driving technology (FSD)</t>
  </si>
  <si>
    <t>• Rapidly scaling energy storage business (49% YoY growth)</t>
  </si>
  <si>
    <t>• Optimus humanoid robot platform entering production</t>
  </si>
  <si>
    <t>• Strong balance sheet with $44.1B cash and investments</t>
  </si>
  <si>
    <t>• Vertical integration advantages in manufacturing and AI infrastructure</t>
  </si>
  <si>
    <t>KEY INVESTMENT HIGHLIGHTS</t>
  </si>
  <si>
    <t>Strengths</t>
  </si>
  <si>
    <t>✓ Market leader in EV technology and brand recognition</t>
  </si>
  <si>
    <t>✓ 1.1M active FSD subscriptions (+38% YoY)</t>
  </si>
  <si>
    <t>✓ Energy storage at record 46.7 GWh deployed in 2025</t>
  </si>
  <si>
    <t>✓ Robotaxi service launched with driverless operations in Austin</t>
  </si>
  <si>
    <t>✓ Strong FCF generation: $6.2B in FY2025 (+74% YoY)</t>
  </si>
  <si>
    <t>Risks</t>
  </si>
  <si>
    <t>⚠ Vehicle deliveries declining (-9% YoY in 2025)</t>
  </si>
  <si>
    <t>⚠ Automotive margins under pressure from competition</t>
  </si>
  <si>
    <t>⚠ High execution risk on Cybercab and Optimus ramps</t>
  </si>
  <si>
    <t>⚠ Regulatory uncertainty around autonomous vehicles</t>
  </si>
  <si>
    <t>⚠ Elevated capex requirements for AI and production capacity</t>
  </si>
  <si>
    <t>KEY FINANCIAL METRICS</t>
  </si>
  <si>
    <t>Metric</t>
  </si>
  <si>
    <t>2025A</t>
  </si>
  <si>
    <t>Revenue ($mm)</t>
  </si>
  <si>
    <t>EBITDA ($mm)</t>
  </si>
  <si>
    <t>Net Income ($mm)</t>
  </si>
  <si>
    <t>FCF ($mm)</t>
  </si>
  <si>
    <t>EBITDA Margin</t>
  </si>
  <si>
    <t>CONCLUSION</t>
  </si>
  <si>
    <t>We maintain a HOLD rating on Tesla with a traditional valuation target of $81 based on</t>
  </si>
  <si>
    <t>DCF and comparable companies analysis. However, this ~77% downside from current levels</t>
  </si>
  <si>
    <t>reflects the market pricing in significant optionality for AI, robotics, and energy storage</t>
  </si>
  <si>
    <t>that traditional models struggle to capture. Risk/reward is balanced at current levels.</t>
  </si>
  <si>
    <t>Key Catalysts to Monitor:</t>
  </si>
  <si>
    <t>• Cybercab production ramp and Robotaxi expansion (H1 2026)</t>
  </si>
  <si>
    <t>• Optimus Gen 3 unveiling and production timeline (Q1 2026)</t>
  </si>
  <si>
    <t>• Energy storage deployment trajectory and margins</t>
  </si>
  <si>
    <t>• FSD regulatory approvals in China and Europe</t>
  </si>
  <si>
    <t>• Q1 2026 delivery numbers and automotive margin trends</t>
  </si>
  <si>
    <t>SENSITIVITY ANALYSIS</t>
  </si>
  <si>
    <t>DCF Sensitivity - Terminal Growth vs WACC</t>
  </si>
  <si>
    <t>WACC →</t>
  </si>
  <si>
    <t>Terminal Growth ↓</t>
  </si>
  <si>
    <t>Comparable Companies - EV/Revenue Sensitivity</t>
  </si>
  <si>
    <t>EV/Revenue Multiple →</t>
  </si>
  <si>
    <t>Revenue ($B) ↓</t>
  </si>
  <si>
    <t>LBO Returns - Exit Multiple vs Exit Year</t>
  </si>
  <si>
    <t>Exit Multiple →</t>
  </si>
  <si>
    <t>Exit Year 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</si>
</sst>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;\-"/>
    <numFmt numFmtId="165" formatCode="0.0%"/>
    <numFmt numFmtId="166" formatCode="0.0\x"/>
    <numFmt numFmtId="167" formatCode="0.000"/>
  </numFmts>
  <fonts count="12" x14ac:knownFonts="1">
    <font>
      <sz val="11"/>
      <color theme="1"/>
      <name val="Calibri"/>
      <family val="2"/>
      <charset val="1"/>
    </font>
    <font>
      <b/>
      <sz val="16"/>
      <name val="Cambria"/>
      <charset val="1"/>
    </font>
    <font>
      <b/>
      <sz val="14"/>
      <name val="Cambria"/>
      <charset val="1"/>
    </font>
    <font>
      <i/>
      <sz val="10"/>
      <name val="Cambria"/>
      <charset val="1"/>
    </font>
    <font>
      <sz val="11"/>
      <color rgb="FF0000FF"/>
      <name val="Cambria"/>
      <charset val="1"/>
    </font>
    <font>
      <b/>
      <sz val="11"/>
      <name val="Cambria"/>
      <charset val="1"/>
    </font>
    <font>
      <sz val="11"/>
      <color rgb="FF008000"/>
      <name val="Cambria"/>
      <charset val="1"/>
    </font>
    <font>
      <b/>
      <sz val="14"/>
      <color rgb="FF008000"/>
      <name val="Cambria"/>
      <charset val="1"/>
    </font>
    <font>
      <i/>
      <sz val="9"/>
      <name val="Cambria"/>
      <charset val="1"/>
    </font>
    <font>
      <sz val="11"/>
      <color rgb="FF000000"/>
      <name val="Cambria"/>
      <charset val="1"/>
    </font>
    <font>
      <b/>
      <sz val="12"/>
      <name val="Cambria"/>
      <charset val="1"/>
    </font>
    <font>
      <b/>
      <sz val="14"/>
      <color rgb="FFFFA50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B4C7E7"/>
      </patternFill>
    </fill>
    <fill>
      <patternFill patternType="solid">
        <fgColor rgb="FFB4C7E7"/>
        <bgColor rgb="FF99CC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0" fillId="2" borderId="0" xfId="0" applyFont="1" applyFill="1"/>
    <xf numFmtId="0" fontId="10" fillId="4" borderId="0" xfId="0" applyFont="1" applyFill="1"/>
    <xf numFmtId="0" fontId="5" fillId="4" borderId="0" xfId="0" applyFont="1" applyFill="1"/>
    <xf numFmtId="0" fontId="5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0" fontId="5" fillId="3" borderId="0" xfId="0" applyFont="1" applyFill="1"/>
    <xf numFmtId="164" fontId="6" fillId="0" borderId="0" xfId="0" applyNumberFormat="1" applyFont="1"/>
    <xf numFmtId="0" fontId="7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8" fillId="0" borderId="0" xfId="0" applyFont="1"/>
    <xf numFmtId="164" fontId="0" fillId="0" borderId="0" xfId="0" applyNumberFormat="1"/>
    <xf numFmtId="0" fontId="5" fillId="0" borderId="0" xfId="0" applyFont="1"/>
    <xf numFmtId="164" fontId="9" fillId="0" borderId="0" xfId="0" applyNumberFormat="1" applyFont="1"/>
    <xf numFmtId="165" fontId="0" fillId="0" borderId="0" xfId="0" applyNumberFormat="1"/>
    <xf numFmtId="165" fontId="4" fillId="0" borderId="0" xfId="0" applyNumberFormat="1" applyFont="1"/>
    <xf numFmtId="0" fontId="5" fillId="3" borderId="0" xfId="0" applyFont="1" applyFill="1" applyAlignment="1">
      <alignment horizontal="center" wrapText="1"/>
    </xf>
    <xf numFmtId="166" fontId="4" fillId="0" borderId="0" xfId="0" applyNumberFormat="1" applyFont="1"/>
    <xf numFmtId="167" fontId="0" fillId="0" borderId="0" xfId="0" applyNumberFormat="1"/>
    <xf numFmtId="0" fontId="10" fillId="0" borderId="0" xfId="0" applyFont="1"/>
    <xf numFmtId="164" fontId="10" fillId="0" borderId="0" xfId="0" applyNumberFormat="1" applyFont="1"/>
    <xf numFmtId="166" fontId="0" fillId="0" borderId="0" xfId="0" applyNumberFormat="1"/>
    <xf numFmtId="166" fontId="6" fillId="0" borderId="0" xfId="0" applyNumberFormat="1" applyFont="1"/>
    <xf numFmtId="3" fontId="6" fillId="0" borderId="0" xfId="0" applyNumberFormat="1" applyFont="1"/>
    <xf numFmtId="3" fontId="0" fillId="0" borderId="0" xfId="0" applyNumberFormat="1"/>
    <xf numFmtId="0" fontId="11" fillId="0" borderId="0" xfId="0" applyFont="1"/>
    <xf numFmtId="164" fontId="2" fillId="0" borderId="0" xfId="0" applyNumberFormat="1" applyFont="1"/>
    <xf numFmtId="165" fontId="6" fillId="0" borderId="0" xfId="0" applyNumberFormat="1" applyFont="1"/>
    <xf numFmtId="166" fontId="5" fillId="0" borderId="0" xfId="0" applyNumberFormat="1" applyFont="1"/>
    <xf numFmtId="0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zoomScaleNormal="100" workbookViewId="0"/>
  </sheetViews>
  <sheetFormatPr defaultColWidth="8.6640625" defaultRowHeight="14.4" x14ac:dyDescent="0.3"/>
  <cols>
    <col min="1" max="4" width="20" customWidth="1"/>
  </cols>
  <sheetData>
    <row r="1" spans="1:4" ht="19.5" customHeight="1" x14ac:dyDescent="0.35">
      <c r="A1" s="5" t="s">
        <v>0</v>
      </c>
    </row>
    <row r="2" spans="1:4" ht="17.25" customHeight="1" x14ac:dyDescent="0.3">
      <c r="A2" s="6" t="s">
        <v>1</v>
      </c>
    </row>
    <row r="3" spans="1:4" ht="15" customHeight="1" x14ac:dyDescent="0.3">
      <c r="A3" s="7" t="s">
        <v>2</v>
      </c>
    </row>
    <row r="5" spans="1:4" ht="15" customHeight="1" x14ac:dyDescent="0.3">
      <c r="A5" t="s">
        <v>3</v>
      </c>
      <c r="B5" s="8" t="s">
        <v>4</v>
      </c>
    </row>
    <row r="6" spans="1:4" ht="15" customHeight="1" x14ac:dyDescent="0.3">
      <c r="A6" t="s">
        <v>5</v>
      </c>
      <c r="B6" s="8" t="s">
        <v>6</v>
      </c>
    </row>
    <row r="7" spans="1:4" ht="15" customHeight="1" x14ac:dyDescent="0.3">
      <c r="A7" t="s">
        <v>7</v>
      </c>
      <c r="B7" s="9">
        <v>350</v>
      </c>
    </row>
    <row r="8" spans="1:4" ht="15" customHeight="1" x14ac:dyDescent="0.3">
      <c r="A8" t="s">
        <v>8</v>
      </c>
      <c r="B8" s="10">
        <v>3539</v>
      </c>
    </row>
    <row r="10" spans="1:4" ht="15" customHeight="1" x14ac:dyDescent="0.3">
      <c r="A10" s="4" t="s">
        <v>9</v>
      </c>
      <c r="B10" s="4"/>
      <c r="C10" s="4"/>
      <c r="D10" s="4"/>
    </row>
    <row r="11" spans="1:4" ht="15" customHeight="1" x14ac:dyDescent="0.3">
      <c r="A11" s="11" t="s">
        <v>10</v>
      </c>
      <c r="B11" s="11" t="s">
        <v>11</v>
      </c>
      <c r="C11" s="11" t="s">
        <v>12</v>
      </c>
      <c r="D11" s="11" t="s">
        <v>13</v>
      </c>
    </row>
    <row r="12" spans="1:4" ht="15" customHeight="1" x14ac:dyDescent="0.3">
      <c r="A12" t="s">
        <v>14</v>
      </c>
      <c r="B12" s="12">
        <f>DCF!B50</f>
        <v>40.061204942872259</v>
      </c>
      <c r="C12" s="12">
        <f>DCF!C50</f>
        <v>119.68564758971847</v>
      </c>
      <c r="D12" s="12">
        <f>DCF!D50</f>
        <v>222.19998616977313</v>
      </c>
    </row>
    <row r="13" spans="1:4" ht="15" customHeight="1" x14ac:dyDescent="0.3">
      <c r="A13" t="s">
        <v>15</v>
      </c>
      <c r="B13" s="12">
        <f>Comps!B34</f>
        <v>28.839191862107938</v>
      </c>
      <c r="C13" s="12">
        <f>Comps!C34</f>
        <v>42.236620514269568</v>
      </c>
      <c r="D13" s="12">
        <f>Comps!D34</f>
        <v>67.691734953376653</v>
      </c>
    </row>
    <row r="14" spans="1:4" ht="15" customHeight="1" x14ac:dyDescent="0.3">
      <c r="A14" t="s">
        <v>16</v>
      </c>
      <c r="B14" s="12">
        <f>Precedents!B30</f>
        <v>169.78014128284826</v>
      </c>
      <c r="C14" s="12">
        <f>Precedents!C30</f>
        <v>193.62756428369593</v>
      </c>
      <c r="D14" s="12">
        <f>Precedents!D30</f>
        <v>249.62881604973157</v>
      </c>
    </row>
    <row r="16" spans="1:4" ht="15" customHeight="1" x14ac:dyDescent="0.3">
      <c r="A16" s="4" t="s">
        <v>17</v>
      </c>
      <c r="B16" s="4"/>
      <c r="C16" s="4"/>
      <c r="D16" s="4"/>
    </row>
    <row r="17" spans="1:2" ht="17.25" customHeight="1" x14ac:dyDescent="0.3">
      <c r="A17" t="s">
        <v>18</v>
      </c>
      <c r="B17" s="13" t="str">
        <f>Memo!B5</f>
        <v>HOLD</v>
      </c>
    </row>
    <row r="18" spans="1:2" ht="15" customHeight="1" x14ac:dyDescent="0.3">
      <c r="A18" t="s">
        <v>19</v>
      </c>
      <c r="B18" s="14">
        <f>Memo!B6</f>
        <v>80.961134051994023</v>
      </c>
    </row>
    <row r="19" spans="1:2" ht="15" customHeight="1" x14ac:dyDescent="0.3">
      <c r="A19" t="s">
        <v>20</v>
      </c>
      <c r="B19" s="15">
        <f>B18/B7-1</f>
        <v>-0.76868247413715995</v>
      </c>
    </row>
  </sheetData>
  <mergeCells count="2">
    <mergeCell ref="A10:D10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opLeftCell="A14" zoomScaleNormal="100" workbookViewId="0">
      <selection activeCell="H18" sqref="H18"/>
    </sheetView>
  </sheetViews>
  <sheetFormatPr defaultColWidth="8.6640625" defaultRowHeight="14.4" x14ac:dyDescent="0.3"/>
  <cols>
    <col min="1" max="6" width="18" customWidth="1"/>
  </cols>
  <sheetData>
    <row r="1" spans="1:7" ht="17.25" customHeight="1" x14ac:dyDescent="0.3">
      <c r="A1" s="6" t="s">
        <v>21</v>
      </c>
    </row>
    <row r="2" spans="1:7" ht="15" customHeight="1" x14ac:dyDescent="0.3">
      <c r="A2" s="16" t="s">
        <v>22</v>
      </c>
    </row>
    <row r="4" spans="1:7" ht="15" customHeight="1" x14ac:dyDescent="0.3">
      <c r="A4" s="4" t="s">
        <v>23</v>
      </c>
      <c r="B4" s="4"/>
      <c r="C4" s="4"/>
      <c r="D4" s="4"/>
      <c r="E4" s="4"/>
      <c r="F4" s="4"/>
      <c r="G4" s="4"/>
    </row>
    <row r="5" spans="1:7" ht="15" customHeight="1" x14ac:dyDescent="0.3">
      <c r="A5" s="11"/>
      <c r="B5" s="35">
        <v>2021</v>
      </c>
      <c r="C5" s="35">
        <v>2022</v>
      </c>
      <c r="D5" s="35">
        <v>2022</v>
      </c>
      <c r="E5" s="35">
        <v>2022</v>
      </c>
      <c r="F5" s="35">
        <v>2022</v>
      </c>
    </row>
    <row r="6" spans="1:7" ht="15" customHeight="1" x14ac:dyDescent="0.3">
      <c r="A6" t="s">
        <v>24</v>
      </c>
      <c r="B6" s="17">
        <v>47232</v>
      </c>
      <c r="C6" s="17">
        <v>71462</v>
      </c>
      <c r="D6" s="17">
        <v>82419</v>
      </c>
      <c r="E6" s="17">
        <v>77070</v>
      </c>
      <c r="F6" s="17">
        <v>69526</v>
      </c>
    </row>
    <row r="7" spans="1:7" ht="15" customHeight="1" x14ac:dyDescent="0.3">
      <c r="A7" t="s">
        <v>25</v>
      </c>
      <c r="B7" s="17">
        <v>2789</v>
      </c>
      <c r="C7" s="17">
        <v>3909</v>
      </c>
      <c r="D7" s="17">
        <v>6035</v>
      </c>
      <c r="E7" s="17">
        <v>10086</v>
      </c>
      <c r="F7" s="17">
        <v>12771</v>
      </c>
    </row>
    <row r="8" spans="1:7" ht="15" customHeight="1" x14ac:dyDescent="0.3">
      <c r="A8" t="s">
        <v>26</v>
      </c>
      <c r="B8" s="17">
        <v>3802</v>
      </c>
      <c r="C8" s="17">
        <v>6091</v>
      </c>
      <c r="D8" s="17">
        <v>8319</v>
      </c>
      <c r="E8" s="17">
        <v>10534</v>
      </c>
      <c r="F8" s="17">
        <v>12530</v>
      </c>
    </row>
    <row r="9" spans="1:7" ht="15" customHeight="1" x14ac:dyDescent="0.3">
      <c r="A9" s="18" t="s">
        <v>27</v>
      </c>
      <c r="B9" s="19">
        <f>SUM(B5:B8)</f>
        <v>55844</v>
      </c>
      <c r="C9" s="19">
        <f t="shared" ref="C9:F9" si="0">SUM(C5:C8)</f>
        <v>83484</v>
      </c>
      <c r="D9" s="19">
        <f t="shared" si="0"/>
        <v>98795</v>
      </c>
      <c r="E9" s="19">
        <f t="shared" si="0"/>
        <v>99712</v>
      </c>
      <c r="F9" s="19">
        <f t="shared" si="0"/>
        <v>96849</v>
      </c>
    </row>
    <row r="11" spans="1:7" ht="15" customHeight="1" x14ac:dyDescent="0.3">
      <c r="A11" t="s">
        <v>28</v>
      </c>
      <c r="B11" s="17">
        <v>13606</v>
      </c>
      <c r="C11" s="17">
        <v>20853</v>
      </c>
      <c r="D11" s="17">
        <v>17660</v>
      </c>
      <c r="E11" s="17">
        <v>17450</v>
      </c>
      <c r="F11" s="17">
        <v>17094</v>
      </c>
    </row>
    <row r="12" spans="1:7" ht="15" customHeight="1" x14ac:dyDescent="0.3">
      <c r="A12" t="s">
        <v>29</v>
      </c>
      <c r="B12" s="20">
        <f>B11/B9</f>
        <v>0.24364300551536422</v>
      </c>
      <c r="C12" s="20">
        <f>C11/C9</f>
        <v>0.24978438982319964</v>
      </c>
      <c r="D12" s="20">
        <f>D11/D9</f>
        <v>0.17875398552558328</v>
      </c>
      <c r="E12" s="20">
        <f>E11/E9</f>
        <v>0.17500401155327341</v>
      </c>
      <c r="F12" s="20">
        <f>F11/F9</f>
        <v>0.17650156429080321</v>
      </c>
    </row>
    <row r="14" spans="1:7" ht="15" customHeight="1" x14ac:dyDescent="0.3">
      <c r="A14" t="s">
        <v>30</v>
      </c>
      <c r="B14" s="17">
        <v>7083</v>
      </c>
      <c r="C14" s="17">
        <v>7197</v>
      </c>
      <c r="D14" s="17">
        <v>8769</v>
      </c>
      <c r="E14" s="17">
        <v>10374</v>
      </c>
      <c r="F14" s="17">
        <v>12739</v>
      </c>
    </row>
    <row r="15" spans="1:7" ht="15" customHeight="1" x14ac:dyDescent="0.3">
      <c r="A15" s="18" t="s">
        <v>31</v>
      </c>
      <c r="B15" s="19">
        <f>B11-B14</f>
        <v>6523</v>
      </c>
      <c r="C15" s="19">
        <f>C11-C14</f>
        <v>13656</v>
      </c>
      <c r="D15" s="19">
        <f>D11-D14</f>
        <v>8891</v>
      </c>
      <c r="E15" s="19">
        <f>E11-E14</f>
        <v>7076</v>
      </c>
      <c r="F15" s="19">
        <f>F11-F14</f>
        <v>4355</v>
      </c>
    </row>
    <row r="16" spans="1:7" ht="15" customHeight="1" x14ac:dyDescent="0.3">
      <c r="A16" t="s">
        <v>32</v>
      </c>
      <c r="B16" s="20">
        <f>B15/B9</f>
        <v>0.11680753527684264</v>
      </c>
      <c r="C16" s="20">
        <f>C15/C9</f>
        <v>0.16357625413252838</v>
      </c>
      <c r="D16" s="20">
        <f>D15/D9</f>
        <v>8.9994432916645578E-2</v>
      </c>
      <c r="E16" s="20">
        <f>E15/E9</f>
        <v>7.0964377406931969E-2</v>
      </c>
      <c r="F16" s="20">
        <f>F15/F9</f>
        <v>4.4966907247364456E-2</v>
      </c>
    </row>
    <row r="18" spans="1:7" ht="15" customHeight="1" x14ac:dyDescent="0.3">
      <c r="A18" s="18" t="s">
        <v>33</v>
      </c>
      <c r="B18" s="17">
        <v>5519</v>
      </c>
      <c r="C18" s="17">
        <v>12556</v>
      </c>
      <c r="D18" s="17">
        <v>14997</v>
      </c>
      <c r="E18" s="17">
        <v>7091</v>
      </c>
      <c r="F18" s="17">
        <v>3794</v>
      </c>
    </row>
    <row r="19" spans="1:7" ht="15" customHeight="1" x14ac:dyDescent="0.3">
      <c r="A19" t="s">
        <v>34</v>
      </c>
      <c r="B19" s="20">
        <f>B18/B9</f>
        <v>9.882888045268963E-2</v>
      </c>
      <c r="C19" s="20">
        <f>C18/C9</f>
        <v>0.15040007666139621</v>
      </c>
      <c r="D19" s="20">
        <f>D18/D9</f>
        <v>0.15179918012045143</v>
      </c>
      <c r="E19" s="20">
        <f>E18/E9</f>
        <v>7.1114810654685501E-2</v>
      </c>
      <c r="F19" s="20">
        <f>F18/F9</f>
        <v>3.9174384867164347E-2</v>
      </c>
    </row>
    <row r="21" spans="1:7" ht="15" customHeight="1" x14ac:dyDescent="0.3">
      <c r="A21" s="18" t="s">
        <v>35</v>
      </c>
      <c r="B21" s="17">
        <v>11722</v>
      </c>
      <c r="C21" s="17">
        <v>19390</v>
      </c>
      <c r="D21" s="17">
        <v>16631</v>
      </c>
      <c r="E21" s="17">
        <v>16056</v>
      </c>
      <c r="F21" s="17">
        <v>14596</v>
      </c>
    </row>
    <row r="22" spans="1:7" ht="15" customHeight="1" x14ac:dyDescent="0.3">
      <c r="A22" t="s">
        <v>36</v>
      </c>
      <c r="B22" s="20">
        <f>B21/B9</f>
        <v>0.20990616718000144</v>
      </c>
      <c r="C22" s="20">
        <f>C21/C9</f>
        <v>0.23226007378659383</v>
      </c>
      <c r="D22" s="20">
        <f>D21/D9</f>
        <v>0.16833847866794879</v>
      </c>
      <c r="E22" s="20">
        <f>E21/E9</f>
        <v>0.1610237483953787</v>
      </c>
      <c r="F22" s="20">
        <f>F21/F9</f>
        <v>0.15070883540356639</v>
      </c>
    </row>
    <row r="25" spans="1:7" ht="15" customHeight="1" x14ac:dyDescent="0.3">
      <c r="A25" s="4" t="s">
        <v>37</v>
      </c>
      <c r="B25" s="4"/>
      <c r="C25" s="4"/>
      <c r="D25" s="4"/>
      <c r="E25" s="4"/>
      <c r="F25" s="4"/>
      <c r="G25" s="4"/>
    </row>
    <row r="26" spans="1:7" ht="15" customHeight="1" x14ac:dyDescent="0.3">
      <c r="A26" t="s">
        <v>38</v>
      </c>
      <c r="B26" s="17">
        <v>17707</v>
      </c>
      <c r="C26" s="17">
        <v>22185</v>
      </c>
      <c r="D26" s="17">
        <v>29094</v>
      </c>
      <c r="E26" s="17">
        <v>36563</v>
      </c>
      <c r="F26" s="17">
        <v>44059</v>
      </c>
    </row>
    <row r="27" spans="1:7" ht="15" customHeight="1" x14ac:dyDescent="0.3">
      <c r="A27" t="s">
        <v>39</v>
      </c>
      <c r="F27" s="9">
        <v>137806</v>
      </c>
    </row>
    <row r="28" spans="1:7" ht="15" customHeight="1" x14ac:dyDescent="0.3">
      <c r="A28" t="s">
        <v>40</v>
      </c>
      <c r="B28" s="17">
        <v>7878</v>
      </c>
      <c r="C28" s="17">
        <v>7244</v>
      </c>
      <c r="D28" s="17">
        <v>7136</v>
      </c>
      <c r="E28" s="17">
        <v>8213</v>
      </c>
      <c r="F28" s="17">
        <v>8376</v>
      </c>
    </row>
    <row r="29" spans="1:7" ht="15" customHeight="1" x14ac:dyDescent="0.3">
      <c r="A29" t="s">
        <v>41</v>
      </c>
      <c r="F29" s="9">
        <v>82137</v>
      </c>
    </row>
    <row r="32" spans="1:7" ht="15" customHeight="1" x14ac:dyDescent="0.3">
      <c r="A32" s="4" t="s">
        <v>42</v>
      </c>
      <c r="B32" s="4"/>
      <c r="C32" s="4"/>
      <c r="D32" s="4"/>
      <c r="E32" s="4"/>
      <c r="F32" s="4"/>
      <c r="G32" s="4"/>
    </row>
    <row r="33" spans="1:6" ht="15" customHeight="1" x14ac:dyDescent="0.3">
      <c r="A33" t="s">
        <v>43</v>
      </c>
      <c r="B33" s="17">
        <v>11497</v>
      </c>
      <c r="C33" s="17">
        <v>14724</v>
      </c>
      <c r="D33" s="17">
        <v>13256</v>
      </c>
      <c r="E33" s="17">
        <v>14923</v>
      </c>
      <c r="F33" s="17">
        <v>14747</v>
      </c>
    </row>
    <row r="34" spans="1:6" ht="15" customHeight="1" x14ac:dyDescent="0.3">
      <c r="A34" t="s">
        <v>44</v>
      </c>
      <c r="B34" s="17">
        <v>-6514</v>
      </c>
      <c r="C34" s="17">
        <v>-7163</v>
      </c>
      <c r="D34" s="17">
        <v>-8899</v>
      </c>
      <c r="E34" s="17">
        <v>-11342</v>
      </c>
      <c r="F34" s="17">
        <v>-8527</v>
      </c>
    </row>
    <row r="35" spans="1:6" ht="15" customHeight="1" x14ac:dyDescent="0.3">
      <c r="A35" s="18" t="s">
        <v>45</v>
      </c>
      <c r="B35" s="19">
        <f>B33+B34</f>
        <v>4983</v>
      </c>
      <c r="C35" s="19">
        <f>C33+C34</f>
        <v>7561</v>
      </c>
      <c r="D35" s="19">
        <f>D33+D34</f>
        <v>4357</v>
      </c>
      <c r="E35" s="19">
        <f>E33+E34</f>
        <v>3581</v>
      </c>
      <c r="F35" s="19">
        <f>F33+F34</f>
        <v>6220</v>
      </c>
    </row>
  </sheetData>
  <mergeCells count="3">
    <mergeCell ref="A4:G4"/>
    <mergeCell ref="A25:G25"/>
    <mergeCell ref="A32:G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topLeftCell="A15" zoomScaleNormal="100" workbookViewId="0"/>
  </sheetViews>
  <sheetFormatPr defaultColWidth="8.6640625" defaultRowHeight="14.4" x14ac:dyDescent="0.3"/>
  <cols>
    <col min="1" max="7" width="16" customWidth="1"/>
  </cols>
  <sheetData>
    <row r="1" spans="1:8" ht="17.25" customHeight="1" x14ac:dyDescent="0.3">
      <c r="A1" s="6" t="s">
        <v>46</v>
      </c>
    </row>
    <row r="2" spans="1:8" ht="15" customHeight="1" x14ac:dyDescent="0.3">
      <c r="A2" s="7" t="s">
        <v>47</v>
      </c>
    </row>
    <row r="4" spans="1:8" ht="15" customHeight="1" x14ac:dyDescent="0.3">
      <c r="A4" s="3" t="s">
        <v>48</v>
      </c>
      <c r="B4" s="3"/>
      <c r="C4" s="3"/>
      <c r="D4" s="3"/>
      <c r="E4" s="3"/>
      <c r="F4" s="3"/>
      <c r="G4" s="3"/>
      <c r="H4" s="3"/>
    </row>
    <row r="5" spans="1:8" ht="15" customHeight="1" x14ac:dyDescent="0.3">
      <c r="A5" t="s">
        <v>49</v>
      </c>
      <c r="C5" s="21">
        <v>0.12</v>
      </c>
      <c r="D5" s="21">
        <v>0.15</v>
      </c>
      <c r="E5" s="21">
        <v>0.18</v>
      </c>
      <c r="F5" s="21">
        <v>0.16</v>
      </c>
      <c r="G5" s="21">
        <v>0.14000000000000001</v>
      </c>
    </row>
    <row r="6" spans="1:8" ht="15" customHeight="1" x14ac:dyDescent="0.3">
      <c r="A6" t="s">
        <v>29</v>
      </c>
      <c r="C6" s="21">
        <v>0.19</v>
      </c>
      <c r="D6" s="21">
        <v>0.21</v>
      </c>
      <c r="E6" s="21">
        <v>0.23</v>
      </c>
      <c r="F6" s="21">
        <v>0.24</v>
      </c>
      <c r="G6" s="21">
        <v>0.25</v>
      </c>
    </row>
    <row r="7" spans="1:8" ht="15" customHeight="1" x14ac:dyDescent="0.3">
      <c r="A7" t="s">
        <v>50</v>
      </c>
      <c r="C7" s="21">
        <v>0.13</v>
      </c>
      <c r="D7" s="21">
        <v>0.12</v>
      </c>
      <c r="E7" s="21">
        <v>0.11</v>
      </c>
      <c r="F7" s="21">
        <v>0.1</v>
      </c>
      <c r="G7" s="21">
        <v>0.09</v>
      </c>
    </row>
    <row r="9" spans="1:8" ht="15" customHeight="1" x14ac:dyDescent="0.3">
      <c r="A9" s="4" t="s">
        <v>23</v>
      </c>
      <c r="B9" s="4"/>
      <c r="C9" s="4"/>
      <c r="D9" s="4"/>
      <c r="E9" s="4"/>
      <c r="F9" s="4"/>
      <c r="G9" s="4"/>
      <c r="H9" s="4"/>
    </row>
    <row r="10" spans="1:8" ht="27.75" customHeight="1" x14ac:dyDescent="0.3">
      <c r="A10" s="22"/>
      <c r="B10" s="22" t="s">
        <v>51</v>
      </c>
      <c r="C10" s="22" t="s">
        <v>52</v>
      </c>
      <c r="D10" s="22" t="s">
        <v>53</v>
      </c>
      <c r="E10" s="22" t="s">
        <v>54</v>
      </c>
      <c r="F10" s="22" t="s">
        <v>55</v>
      </c>
      <c r="G10" s="22" t="s">
        <v>56</v>
      </c>
    </row>
    <row r="11" spans="1:8" ht="15" customHeight="1" x14ac:dyDescent="0.3">
      <c r="A11" t="s">
        <v>57</v>
      </c>
      <c r="B11" s="17">
        <v>69526</v>
      </c>
      <c r="C11" s="19">
        <f>B11*(1+C$5)</f>
        <v>77869.12000000001</v>
      </c>
      <c r="D11" s="19">
        <f>C11*(1+D$5)</f>
        <v>89549.487999999998</v>
      </c>
      <c r="E11" s="19">
        <f>D11*(1+E$5)</f>
        <v>105668.39584</v>
      </c>
      <c r="F11" s="19">
        <f>E11*(1+F$5)</f>
        <v>122575.33917439998</v>
      </c>
      <c r="G11" s="19">
        <f>F11*(1+G$5)</f>
        <v>139735.88665881599</v>
      </c>
    </row>
    <row r="12" spans="1:8" ht="15" customHeight="1" x14ac:dyDescent="0.3">
      <c r="A12" t="s">
        <v>25</v>
      </c>
      <c r="B12" s="17">
        <v>12771</v>
      </c>
      <c r="C12" s="19">
        <f>B12*1.3</f>
        <v>16602.3</v>
      </c>
      <c r="D12" s="19">
        <f>C12*1.35</f>
        <v>22413.105</v>
      </c>
      <c r="E12" s="19">
        <f>D12*1.25</f>
        <v>28016.381249999999</v>
      </c>
      <c r="F12" s="19">
        <f>E12*1.2</f>
        <v>33619.657499999994</v>
      </c>
      <c r="G12" s="19">
        <f>F12*1.15</f>
        <v>38662.606124999991</v>
      </c>
    </row>
    <row r="13" spans="1:8" ht="15" customHeight="1" x14ac:dyDescent="0.3">
      <c r="A13" t="s">
        <v>26</v>
      </c>
      <c r="B13" s="17">
        <v>12530</v>
      </c>
      <c r="C13" s="19">
        <f>B13*1.2</f>
        <v>15036</v>
      </c>
      <c r="D13" s="19">
        <f>C13*1.22</f>
        <v>18343.919999999998</v>
      </c>
      <c r="E13" s="19">
        <f>D13*1.18</f>
        <v>21645.825599999996</v>
      </c>
      <c r="F13" s="19">
        <f>E13*1.15</f>
        <v>24892.699439999993</v>
      </c>
      <c r="G13" s="19">
        <f>F13*1.12</f>
        <v>27879.823372799994</v>
      </c>
    </row>
    <row r="14" spans="1:8" ht="15" customHeight="1" x14ac:dyDescent="0.3">
      <c r="A14" s="18" t="s">
        <v>27</v>
      </c>
      <c r="B14" s="19">
        <f t="shared" ref="B14:G14" si="0">SUM(B11:B13)</f>
        <v>94827</v>
      </c>
      <c r="C14" s="19">
        <f t="shared" si="0"/>
        <v>109507.42000000001</v>
      </c>
      <c r="D14" s="19">
        <f t="shared" si="0"/>
        <v>130306.51299999999</v>
      </c>
      <c r="E14" s="19">
        <f t="shared" si="0"/>
        <v>155330.60268999997</v>
      </c>
      <c r="F14" s="19">
        <f t="shared" si="0"/>
        <v>181087.69611439997</v>
      </c>
      <c r="G14" s="19">
        <f t="shared" si="0"/>
        <v>206278.31615661597</v>
      </c>
    </row>
    <row r="16" spans="1:8" ht="15" customHeight="1" x14ac:dyDescent="0.3">
      <c r="A16" t="s">
        <v>58</v>
      </c>
      <c r="B16" s="19">
        <f>B14*(1-0.18)</f>
        <v>77758.14</v>
      </c>
      <c r="C16" s="19">
        <f>C14*(1-C$6)</f>
        <v>88701.010200000019</v>
      </c>
      <c r="D16" s="19">
        <f>D14*(1-D$6)</f>
        <v>102942.14526999999</v>
      </c>
      <c r="E16" s="19">
        <f>E14*(1-E$6)</f>
        <v>119604.56407129997</v>
      </c>
      <c r="F16" s="19">
        <f>F14*(1-F$6)</f>
        <v>137626.64904694399</v>
      </c>
      <c r="G16" s="19">
        <f>G14*(1-G$6)</f>
        <v>154708.73711746198</v>
      </c>
    </row>
    <row r="17" spans="1:8" ht="15" customHeight="1" x14ac:dyDescent="0.3">
      <c r="A17" s="18" t="s">
        <v>59</v>
      </c>
      <c r="B17" s="19">
        <f t="shared" ref="B17:G17" si="1">B14-B16</f>
        <v>17068.86</v>
      </c>
      <c r="C17" s="19">
        <f t="shared" si="1"/>
        <v>20806.409799999994</v>
      </c>
      <c r="D17" s="19">
        <f t="shared" si="1"/>
        <v>27364.367729999998</v>
      </c>
      <c r="E17" s="19">
        <f t="shared" si="1"/>
        <v>35726.038618699997</v>
      </c>
      <c r="F17" s="19">
        <f t="shared" si="1"/>
        <v>43461.047067455977</v>
      </c>
      <c r="G17" s="19">
        <f t="shared" si="1"/>
        <v>51569.579039153992</v>
      </c>
    </row>
    <row r="19" spans="1:8" ht="15" customHeight="1" x14ac:dyDescent="0.3">
      <c r="A19" t="s">
        <v>30</v>
      </c>
      <c r="B19" s="9">
        <v>-12739</v>
      </c>
      <c r="C19" s="19">
        <f>C14*C$7*-1</f>
        <v>-14235.964600000003</v>
      </c>
      <c r="D19" s="19">
        <f>D14*D$7*-1</f>
        <v>-15636.781559999998</v>
      </c>
      <c r="E19" s="19">
        <f>E14*E$7*-1</f>
        <v>-17086.366295899996</v>
      </c>
      <c r="F19" s="19">
        <f>F14*F$7*-1</f>
        <v>-18108.769611439999</v>
      </c>
      <c r="G19" s="19">
        <f>G14*G$7*-1</f>
        <v>-18565.048454095435</v>
      </c>
    </row>
    <row r="20" spans="1:8" ht="15" customHeight="1" x14ac:dyDescent="0.3">
      <c r="A20" s="18" t="s">
        <v>60</v>
      </c>
      <c r="B20" s="19">
        <f t="shared" ref="B20:G20" si="2">B17-B19</f>
        <v>29807.86</v>
      </c>
      <c r="C20" s="19">
        <f t="shared" si="2"/>
        <v>35042.374400000001</v>
      </c>
      <c r="D20" s="19">
        <f t="shared" si="2"/>
        <v>43001.149289999994</v>
      </c>
      <c r="E20" s="19">
        <f t="shared" si="2"/>
        <v>52812.404914599989</v>
      </c>
      <c r="F20" s="19">
        <f t="shared" si="2"/>
        <v>61569.816678895979</v>
      </c>
      <c r="G20" s="19">
        <f t="shared" si="2"/>
        <v>70134.627493249427</v>
      </c>
    </row>
    <row r="23" spans="1:8" ht="15" customHeight="1" x14ac:dyDescent="0.3">
      <c r="A23" t="s">
        <v>61</v>
      </c>
      <c r="B23" s="17">
        <v>-6148</v>
      </c>
      <c r="C23" s="19">
        <f>C14*0.065</f>
        <v>7117.9823000000015</v>
      </c>
      <c r="D23" s="19">
        <f>D14*0.06</f>
        <v>7818.3907799999988</v>
      </c>
      <c r="E23" s="19">
        <f>E14*0.055</f>
        <v>8543.1831479499979</v>
      </c>
      <c r="F23" s="19">
        <f>F14*0.05</f>
        <v>9054.3848057199993</v>
      </c>
      <c r="G23" s="19">
        <f>G14*0.05</f>
        <v>10313.915807830799</v>
      </c>
    </row>
    <row r="24" spans="1:8" ht="15" customHeight="1" x14ac:dyDescent="0.3">
      <c r="A24" s="18" t="s">
        <v>62</v>
      </c>
      <c r="B24" s="19">
        <f t="shared" ref="B24:G24" si="3">B20-B23</f>
        <v>35955.86</v>
      </c>
      <c r="C24" s="19">
        <f t="shared" si="3"/>
        <v>27924.392099999997</v>
      </c>
      <c r="D24" s="19">
        <f t="shared" si="3"/>
        <v>35182.758509999992</v>
      </c>
      <c r="E24" s="19">
        <f t="shared" si="3"/>
        <v>44269.221766649993</v>
      </c>
      <c r="F24" s="19">
        <f t="shared" si="3"/>
        <v>52515.431873175978</v>
      </c>
      <c r="G24" s="19">
        <f t="shared" si="3"/>
        <v>59820.711685418632</v>
      </c>
    </row>
    <row r="26" spans="1:8" ht="15" customHeight="1" x14ac:dyDescent="0.3">
      <c r="A26" t="s">
        <v>63</v>
      </c>
      <c r="B26" s="17">
        <v>-338</v>
      </c>
      <c r="C26" s="9">
        <v>-350</v>
      </c>
      <c r="D26" s="9">
        <v>-360</v>
      </c>
      <c r="E26" s="9">
        <v>-370</v>
      </c>
      <c r="F26" s="9">
        <v>-380</v>
      </c>
      <c r="G26" s="9">
        <v>-390</v>
      </c>
    </row>
    <row r="27" spans="1:8" ht="15" customHeight="1" x14ac:dyDescent="0.3">
      <c r="A27" t="s">
        <v>64</v>
      </c>
      <c r="B27" s="19">
        <f t="shared" ref="B27:G27" si="4">-(B24+B26)*0.21</f>
        <v>-7479.7505999999994</v>
      </c>
      <c r="C27" s="19">
        <f t="shared" si="4"/>
        <v>-5790.6223409999993</v>
      </c>
      <c r="D27" s="19">
        <f t="shared" si="4"/>
        <v>-7312.7792870999983</v>
      </c>
      <c r="E27" s="19">
        <f t="shared" si="4"/>
        <v>-9218.8365709964983</v>
      </c>
      <c r="F27" s="19">
        <f t="shared" si="4"/>
        <v>-10948.440693366954</v>
      </c>
      <c r="G27" s="19">
        <f t="shared" si="4"/>
        <v>-12480.449453937912</v>
      </c>
    </row>
    <row r="28" spans="1:8" ht="15" customHeight="1" x14ac:dyDescent="0.3">
      <c r="A28" s="18" t="s">
        <v>33</v>
      </c>
      <c r="B28" s="19">
        <f t="shared" ref="B28:G28" si="5">B24+B26+B27</f>
        <v>28138.109400000001</v>
      </c>
      <c r="C28" s="19">
        <f t="shared" si="5"/>
        <v>21783.769758999999</v>
      </c>
      <c r="D28" s="19">
        <f t="shared" si="5"/>
        <v>27509.979222899994</v>
      </c>
      <c r="E28" s="19">
        <f t="shared" si="5"/>
        <v>34680.385195653493</v>
      </c>
      <c r="F28" s="19">
        <f t="shared" si="5"/>
        <v>41186.991179809025</v>
      </c>
      <c r="G28" s="19">
        <f t="shared" si="5"/>
        <v>46950.262231480723</v>
      </c>
    </row>
    <row r="31" spans="1:8" ht="15" customHeight="1" x14ac:dyDescent="0.3">
      <c r="A31" s="4" t="s">
        <v>65</v>
      </c>
      <c r="B31" s="4"/>
      <c r="C31" s="4"/>
      <c r="D31" s="4"/>
      <c r="E31" s="4"/>
      <c r="F31" s="4"/>
      <c r="G31" s="4"/>
      <c r="H31" s="4"/>
    </row>
    <row r="32" spans="1:8" ht="15" customHeight="1" x14ac:dyDescent="0.3">
      <c r="A32" t="s">
        <v>33</v>
      </c>
      <c r="B32" s="19">
        <f t="shared" ref="B32:G32" si="6">B28</f>
        <v>28138.109400000001</v>
      </c>
      <c r="C32" s="19">
        <f t="shared" si="6"/>
        <v>21783.769758999999</v>
      </c>
      <c r="D32" s="19">
        <f t="shared" si="6"/>
        <v>27509.979222899994</v>
      </c>
      <c r="E32" s="19">
        <f t="shared" si="6"/>
        <v>34680.385195653493</v>
      </c>
      <c r="F32" s="19">
        <f t="shared" si="6"/>
        <v>41186.991179809025</v>
      </c>
      <c r="G32" s="19">
        <f t="shared" si="6"/>
        <v>46950.262231480723</v>
      </c>
    </row>
    <row r="33" spans="1:7" ht="15" customHeight="1" x14ac:dyDescent="0.3">
      <c r="A33" t="s">
        <v>66</v>
      </c>
      <c r="B33" s="19">
        <f t="shared" ref="B33:G33" si="7">-B23</f>
        <v>6148</v>
      </c>
      <c r="C33" s="19">
        <f t="shared" si="7"/>
        <v>-7117.9823000000015</v>
      </c>
      <c r="D33" s="19">
        <f t="shared" si="7"/>
        <v>-7818.3907799999988</v>
      </c>
      <c r="E33" s="19">
        <f t="shared" si="7"/>
        <v>-8543.1831479499979</v>
      </c>
      <c r="F33" s="19">
        <f t="shared" si="7"/>
        <v>-9054.3848057199993</v>
      </c>
      <c r="G33" s="19">
        <f t="shared" si="7"/>
        <v>-10313.915807830799</v>
      </c>
    </row>
    <row r="34" spans="1:7" ht="15" customHeight="1" x14ac:dyDescent="0.3">
      <c r="A34" t="s">
        <v>67</v>
      </c>
      <c r="B34" s="17">
        <v>-500</v>
      </c>
      <c r="C34" s="19">
        <f>C14*0.02*-1</f>
        <v>-2190.1484000000005</v>
      </c>
      <c r="D34" s="19">
        <f>D14*0.02*-1</f>
        <v>-2606.1302599999999</v>
      </c>
      <c r="E34" s="19">
        <f>E14*0.02*-1</f>
        <v>-3106.6120537999996</v>
      </c>
      <c r="F34" s="19">
        <f>F14*0.02*-1</f>
        <v>-3621.7539222879996</v>
      </c>
      <c r="G34" s="19">
        <f>G14*0.02*-1</f>
        <v>-4125.5663231323197</v>
      </c>
    </row>
    <row r="35" spans="1:7" ht="15" customHeight="1" x14ac:dyDescent="0.3">
      <c r="A35" s="18" t="s">
        <v>43</v>
      </c>
      <c r="B35" s="19">
        <f t="shared" ref="B35:G35" si="8">SUM(B32:B34)</f>
        <v>33786.109400000001</v>
      </c>
      <c r="C35" s="19">
        <f t="shared" si="8"/>
        <v>12475.639058999997</v>
      </c>
      <c r="D35" s="19">
        <f t="shared" si="8"/>
        <v>17085.458182899994</v>
      </c>
      <c r="E35" s="19">
        <f t="shared" si="8"/>
        <v>23030.589993903497</v>
      </c>
      <c r="F35" s="19">
        <f t="shared" si="8"/>
        <v>28510.852451801024</v>
      </c>
      <c r="G35" s="19">
        <f t="shared" si="8"/>
        <v>32510.780100517608</v>
      </c>
    </row>
    <row r="37" spans="1:7" ht="15" customHeight="1" x14ac:dyDescent="0.3">
      <c r="A37" t="s">
        <v>68</v>
      </c>
      <c r="B37" s="17">
        <v>-8527</v>
      </c>
      <c r="C37" s="19">
        <f>C14*0.075*-1</f>
        <v>-8213.0565000000006</v>
      </c>
      <c r="D37" s="19">
        <f>D14*0.07*-1</f>
        <v>-9121.4559100000006</v>
      </c>
      <c r="E37" s="19">
        <f>E14*0.065*-1</f>
        <v>-10096.489174849998</v>
      </c>
      <c r="F37" s="19">
        <f>F14*0.06*-1</f>
        <v>-10865.261766863998</v>
      </c>
      <c r="G37" s="19">
        <f>G14*0.055*-1</f>
        <v>-11345.307388613879</v>
      </c>
    </row>
    <row r="38" spans="1:7" ht="15" customHeight="1" x14ac:dyDescent="0.3">
      <c r="A38" s="18" t="s">
        <v>45</v>
      </c>
      <c r="B38" s="19">
        <f t="shared" ref="B38:G38" si="9">B35+B37</f>
        <v>25259.109400000001</v>
      </c>
      <c r="C38" s="19">
        <f t="shared" si="9"/>
        <v>4262.5825589999968</v>
      </c>
      <c r="D38" s="19">
        <f t="shared" si="9"/>
        <v>7964.0022728999938</v>
      </c>
      <c r="E38" s="19">
        <f t="shared" si="9"/>
        <v>12934.100819053499</v>
      </c>
      <c r="F38" s="19">
        <f t="shared" si="9"/>
        <v>17645.590684937026</v>
      </c>
      <c r="G38" s="19">
        <f t="shared" si="9"/>
        <v>21165.472711903727</v>
      </c>
    </row>
  </sheetData>
  <mergeCells count="3">
    <mergeCell ref="A4:H4"/>
    <mergeCell ref="A9:H9"/>
    <mergeCell ref="A31:H3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topLeftCell="A32" zoomScaleNormal="100" workbookViewId="0"/>
  </sheetViews>
  <sheetFormatPr defaultColWidth="8.6640625" defaultRowHeight="14.4" x14ac:dyDescent="0.3"/>
  <cols>
    <col min="1" max="6" width="18" customWidth="1"/>
  </cols>
  <sheetData>
    <row r="1" spans="1:4" ht="17.25" customHeight="1" x14ac:dyDescent="0.3">
      <c r="A1" s="6" t="s">
        <v>69</v>
      </c>
    </row>
    <row r="3" spans="1:4" ht="15" customHeight="1" x14ac:dyDescent="0.3">
      <c r="A3" s="3" t="s">
        <v>70</v>
      </c>
      <c r="B3" s="3"/>
      <c r="C3" s="3"/>
      <c r="D3" s="3"/>
    </row>
    <row r="4" spans="1:4" ht="15" customHeight="1" x14ac:dyDescent="0.3">
      <c r="A4" t="s">
        <v>71</v>
      </c>
      <c r="B4" s="21">
        <v>4.4999999999999998E-2</v>
      </c>
    </row>
    <row r="5" spans="1:4" ht="15" customHeight="1" x14ac:dyDescent="0.3">
      <c r="A5" t="s">
        <v>72</v>
      </c>
      <c r="B5" s="21">
        <v>7.0000000000000007E-2</v>
      </c>
    </row>
    <row r="6" spans="1:4" ht="15" customHeight="1" x14ac:dyDescent="0.3">
      <c r="A6" t="s">
        <v>73</v>
      </c>
      <c r="B6" s="8">
        <v>2</v>
      </c>
    </row>
    <row r="7" spans="1:4" ht="15" customHeight="1" x14ac:dyDescent="0.3">
      <c r="A7" t="s">
        <v>74</v>
      </c>
      <c r="B7" s="20">
        <f>B4+B6*B5</f>
        <v>0.185</v>
      </c>
    </row>
    <row r="8" spans="1:4" ht="15" customHeight="1" x14ac:dyDescent="0.3">
      <c r="A8" t="s">
        <v>75</v>
      </c>
      <c r="B8" s="21">
        <v>0.04</v>
      </c>
    </row>
    <row r="9" spans="1:4" ht="15" customHeight="1" x14ac:dyDescent="0.3">
      <c r="A9" t="s">
        <v>76</v>
      </c>
      <c r="B9" s="8">
        <v>0.1</v>
      </c>
    </row>
    <row r="10" spans="1:4" ht="15" customHeight="1" x14ac:dyDescent="0.3">
      <c r="A10" t="s">
        <v>77</v>
      </c>
      <c r="B10" s="15">
        <f>B7/(1+B9)+B8*B9/(1+B9)</f>
        <v>0.17181818181818179</v>
      </c>
    </row>
    <row r="12" spans="1:4" ht="15" customHeight="1" x14ac:dyDescent="0.3">
      <c r="A12" s="3" t="s">
        <v>78</v>
      </c>
      <c r="B12" s="3"/>
      <c r="C12" s="3"/>
      <c r="D12" s="3"/>
    </row>
    <row r="13" spans="1:4" ht="15" customHeight="1" x14ac:dyDescent="0.3">
      <c r="A13" t="s">
        <v>79</v>
      </c>
      <c r="B13" s="21">
        <v>3.5000000000000003E-2</v>
      </c>
    </row>
    <row r="14" spans="1:4" ht="15" customHeight="1" x14ac:dyDescent="0.3">
      <c r="A14" t="s">
        <v>80</v>
      </c>
      <c r="B14" s="23">
        <v>18</v>
      </c>
    </row>
    <row r="17" spans="1:8" ht="15" customHeight="1" x14ac:dyDescent="0.3">
      <c r="A17" s="4" t="s">
        <v>81</v>
      </c>
      <c r="B17" s="4"/>
      <c r="C17" s="4"/>
      <c r="D17" s="4"/>
      <c r="E17" s="4"/>
      <c r="F17" s="4"/>
      <c r="G17" s="4"/>
      <c r="H17" s="4"/>
    </row>
    <row r="18" spans="1:8" ht="15" customHeight="1" x14ac:dyDescent="0.3">
      <c r="A18" s="11"/>
      <c r="B18" s="11" t="s">
        <v>52</v>
      </c>
      <c r="C18" s="11" t="s">
        <v>53</v>
      </c>
      <c r="D18" s="11" t="s">
        <v>54</v>
      </c>
      <c r="E18" s="11" t="s">
        <v>55</v>
      </c>
      <c r="F18" s="11" t="s">
        <v>56</v>
      </c>
    </row>
    <row r="19" spans="1:8" ht="15" customHeight="1" x14ac:dyDescent="0.3">
      <c r="A19" t="s">
        <v>45</v>
      </c>
      <c r="B19" s="12">
        <f>'3-Statement Model'!C38</f>
        <v>4262.5825589999968</v>
      </c>
      <c r="C19" s="12">
        <f>'3-Statement Model'!D38</f>
        <v>7964.0022728999938</v>
      </c>
      <c r="D19" s="12">
        <f>'3-Statement Model'!E38</f>
        <v>12934.100819053499</v>
      </c>
      <c r="E19" s="12">
        <f>'3-Statement Model'!F38</f>
        <v>17645.590684937026</v>
      </c>
      <c r="F19" s="12">
        <f>'3-Statement Model'!G38</f>
        <v>21165.472711903727</v>
      </c>
    </row>
    <row r="21" spans="1:8" ht="15" customHeight="1" x14ac:dyDescent="0.3">
      <c r="A21" t="s">
        <v>82</v>
      </c>
      <c r="B21">
        <v>0.5</v>
      </c>
      <c r="C21">
        <v>1.5</v>
      </c>
      <c r="D21">
        <v>2.5</v>
      </c>
      <c r="E21">
        <v>3.5</v>
      </c>
      <c r="F21">
        <v>4.5</v>
      </c>
    </row>
    <row r="22" spans="1:8" ht="15" customHeight="1" x14ac:dyDescent="0.3">
      <c r="A22" t="s">
        <v>83</v>
      </c>
      <c r="B22" s="24">
        <f>1/(1+$B$10)^B21</f>
        <v>0.92378282571002779</v>
      </c>
      <c r="C22" s="24">
        <f>1/(1+$B$10)^C21</f>
        <v>0.78833290014044266</v>
      </c>
      <c r="D22" s="24">
        <f>1/(1+$B$10)^D21</f>
        <v>0.6727433593130232</v>
      </c>
      <c r="E22" s="24">
        <f>1/(1+$B$10)^E21</f>
        <v>0.57410216853710272</v>
      </c>
      <c r="F22" s="24">
        <f>1/(1+$B$10)^F21</f>
        <v>0.48992427105571223</v>
      </c>
    </row>
    <row r="23" spans="1:8" ht="15" customHeight="1" x14ac:dyDescent="0.3">
      <c r="A23" t="s">
        <v>84</v>
      </c>
      <c r="B23" s="17">
        <f>B19*B22</f>
        <v>3937.7005611752984</v>
      </c>
      <c r="C23" s="17">
        <f>C19*C22</f>
        <v>6278.285008520329</v>
      </c>
      <c r="D23" s="17">
        <f>D19*D22</f>
        <v>8701.3304347033754</v>
      </c>
      <c r="E23" s="17">
        <f>E19*E22</f>
        <v>10130.371877340447</v>
      </c>
      <c r="F23" s="17">
        <f>F19*F22</f>
        <v>10369.478789929002</v>
      </c>
    </row>
    <row r="25" spans="1:8" ht="15" customHeight="1" x14ac:dyDescent="0.3">
      <c r="A25" t="s">
        <v>85</v>
      </c>
      <c r="B25" s="14">
        <f>SUM(B23:F23)</f>
        <v>39417.166671668456</v>
      </c>
    </row>
    <row r="28" spans="1:8" ht="15" customHeight="1" x14ac:dyDescent="0.3">
      <c r="A28" s="4" t="s">
        <v>86</v>
      </c>
      <c r="B28" s="4"/>
      <c r="C28" s="4"/>
      <c r="D28" s="4"/>
    </row>
    <row r="30" spans="1:8" ht="15" customHeight="1" x14ac:dyDescent="0.3">
      <c r="A30" s="18" t="s">
        <v>87</v>
      </c>
    </row>
    <row r="31" spans="1:8" ht="15" customHeight="1" x14ac:dyDescent="0.3">
      <c r="A31" t="s">
        <v>88</v>
      </c>
      <c r="B31" s="17">
        <f>F19</f>
        <v>21165.472711903727</v>
      </c>
    </row>
    <row r="32" spans="1:8" ht="15" customHeight="1" x14ac:dyDescent="0.3">
      <c r="A32" t="s">
        <v>89</v>
      </c>
      <c r="B32" s="14">
        <f>B31*(1+B13)/(B10-B13)</f>
        <v>160112.23044852092</v>
      </c>
    </row>
    <row r="33" spans="1:4" ht="15" customHeight="1" x14ac:dyDescent="0.3">
      <c r="A33" t="s">
        <v>90</v>
      </c>
      <c r="B33" s="14">
        <f>B32*F22</f>
        <v>78442.867789595824</v>
      </c>
    </row>
    <row r="36" spans="1:4" ht="15" customHeight="1" x14ac:dyDescent="0.3">
      <c r="A36" s="18" t="s">
        <v>91</v>
      </c>
    </row>
    <row r="37" spans="1:4" ht="15" customHeight="1" x14ac:dyDescent="0.3">
      <c r="A37" t="s">
        <v>92</v>
      </c>
      <c r="B37" s="12">
        <f>'3-Statement Model'!G20</f>
        <v>70134.627493249427</v>
      </c>
    </row>
    <row r="38" spans="1:4" ht="15" customHeight="1" x14ac:dyDescent="0.3">
      <c r="A38" t="s">
        <v>89</v>
      </c>
      <c r="B38" s="14">
        <f>B37*B14</f>
        <v>1262423.2948784898</v>
      </c>
    </row>
    <row r="39" spans="1:4" ht="15" customHeight="1" x14ac:dyDescent="0.3">
      <c r="A39" t="s">
        <v>90</v>
      </c>
      <c r="B39" s="14">
        <f>B38*F22</f>
        <v>618491.81250709458</v>
      </c>
    </row>
    <row r="42" spans="1:4" ht="15" customHeight="1" x14ac:dyDescent="0.3">
      <c r="A42" s="4" t="s">
        <v>93</v>
      </c>
      <c r="B42" s="4"/>
      <c r="C42" s="4"/>
      <c r="D42" s="4"/>
    </row>
    <row r="43" spans="1:4" ht="15" customHeight="1" x14ac:dyDescent="0.3">
      <c r="B43" s="11" t="s">
        <v>94</v>
      </c>
      <c r="C43" s="11" t="s">
        <v>95</v>
      </c>
      <c r="D43" s="11" t="s">
        <v>96</v>
      </c>
    </row>
    <row r="44" spans="1:4" ht="15" customHeight="1" x14ac:dyDescent="0.3">
      <c r="A44" t="s">
        <v>97</v>
      </c>
      <c r="B44" s="12">
        <f>B25</f>
        <v>39417.166671668456</v>
      </c>
      <c r="C44" s="12">
        <f>B25</f>
        <v>39417.166671668456</v>
      </c>
      <c r="D44" s="12">
        <f>B25</f>
        <v>39417.166671668456</v>
      </c>
    </row>
    <row r="45" spans="1:4" ht="15" customHeight="1" x14ac:dyDescent="0.3">
      <c r="A45" t="s">
        <v>90</v>
      </c>
      <c r="B45" s="17">
        <f>B33*0.85</f>
        <v>66676.437621156452</v>
      </c>
      <c r="C45" s="17">
        <f>(B33+B39)/2</f>
        <v>348467.34014834522</v>
      </c>
      <c r="D45" s="17">
        <f>B39*1.15</f>
        <v>711265.58438315871</v>
      </c>
    </row>
    <row r="46" spans="1:4" ht="15" customHeight="1" x14ac:dyDescent="0.3">
      <c r="A46" s="18" t="s">
        <v>98</v>
      </c>
      <c r="B46" s="17">
        <f>B44+B45</f>
        <v>106093.60429282491</v>
      </c>
      <c r="C46" s="17">
        <f>C44+C45</f>
        <v>387884.50682001369</v>
      </c>
      <c r="D46" s="17">
        <f>D44+D45</f>
        <v>750682.75105482712</v>
      </c>
    </row>
    <row r="47" spans="1:4" ht="15" customHeight="1" x14ac:dyDescent="0.3">
      <c r="A47" t="s">
        <v>99</v>
      </c>
      <c r="B47" s="9">
        <f>8376-44059</f>
        <v>-35683</v>
      </c>
      <c r="C47" s="9">
        <f>B47</f>
        <v>-35683</v>
      </c>
      <c r="D47" s="9">
        <f>B47</f>
        <v>-35683</v>
      </c>
    </row>
    <row r="48" spans="1:4" ht="15" customHeight="1" x14ac:dyDescent="0.3">
      <c r="A48" s="18" t="s">
        <v>100</v>
      </c>
      <c r="B48" s="17">
        <f>B46-B47</f>
        <v>141776.60429282492</v>
      </c>
      <c r="C48" s="17">
        <f>C46-C47</f>
        <v>423567.50682001369</v>
      </c>
      <c r="D48" s="17">
        <f>D46-D47</f>
        <v>786365.75105482712</v>
      </c>
    </row>
    <row r="49" spans="1:4" ht="15" customHeight="1" x14ac:dyDescent="0.3">
      <c r="A49" t="s">
        <v>101</v>
      </c>
      <c r="B49" s="12">
        <f>Summary!B8</f>
        <v>3539</v>
      </c>
      <c r="C49" s="12">
        <f>Summary!B8</f>
        <v>3539</v>
      </c>
      <c r="D49" s="12">
        <f>Summary!B8</f>
        <v>3539</v>
      </c>
    </row>
    <row r="50" spans="1:4" ht="15" customHeight="1" x14ac:dyDescent="0.3">
      <c r="A50" s="25" t="s">
        <v>102</v>
      </c>
      <c r="B50" s="26">
        <f>B48/B49</f>
        <v>40.061204942872259</v>
      </c>
      <c r="C50" s="26">
        <f>C48/C49</f>
        <v>119.68564758971847</v>
      </c>
      <c r="D50" s="26">
        <f>D48/D49</f>
        <v>222.19998616977313</v>
      </c>
    </row>
  </sheetData>
  <mergeCells count="5">
    <mergeCell ref="A3:D3"/>
    <mergeCell ref="A12:D12"/>
    <mergeCell ref="A17:H17"/>
    <mergeCell ref="A28:D28"/>
    <mergeCell ref="A42:D4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zoomScaleNormal="100" workbookViewId="0">
      <selection activeCell="F14" sqref="F14"/>
    </sheetView>
  </sheetViews>
  <sheetFormatPr defaultColWidth="8.6640625" defaultRowHeight="14.4" x14ac:dyDescent="0.3"/>
  <cols>
    <col min="1" max="9" width="15" customWidth="1"/>
  </cols>
  <sheetData>
    <row r="1" spans="1:9" ht="17.25" customHeight="1" x14ac:dyDescent="0.3">
      <c r="A1" s="6" t="s">
        <v>103</v>
      </c>
    </row>
    <row r="2" spans="1:9" ht="15" customHeight="1" x14ac:dyDescent="0.3">
      <c r="A2" s="7" t="s">
        <v>104</v>
      </c>
    </row>
    <row r="4" spans="1:9" ht="15" customHeight="1" x14ac:dyDescent="0.3">
      <c r="A4" s="4" t="s">
        <v>105</v>
      </c>
      <c r="B4" s="4"/>
      <c r="C4" s="4"/>
      <c r="D4" s="4"/>
      <c r="E4" s="4"/>
      <c r="F4" s="4"/>
      <c r="G4" s="4"/>
      <c r="H4" s="4"/>
      <c r="I4" s="4"/>
    </row>
    <row r="5" spans="1:9" ht="41.25" customHeight="1" x14ac:dyDescent="0.3">
      <c r="A5" s="22" t="s">
        <v>106</v>
      </c>
      <c r="B5" s="22" t="s">
        <v>107</v>
      </c>
      <c r="C5" s="22" t="s">
        <v>108</v>
      </c>
      <c r="D5" s="22" t="s">
        <v>109</v>
      </c>
      <c r="E5" s="22" t="s">
        <v>110</v>
      </c>
      <c r="F5" s="22" t="s">
        <v>111</v>
      </c>
      <c r="G5" s="22" t="s">
        <v>112</v>
      </c>
      <c r="H5" s="22" t="s">
        <v>113</v>
      </c>
    </row>
    <row r="6" spans="1:9" ht="15" customHeight="1" x14ac:dyDescent="0.3">
      <c r="A6" t="s">
        <v>114</v>
      </c>
      <c r="B6" t="s">
        <v>115</v>
      </c>
      <c r="C6" s="17">
        <v>58000</v>
      </c>
      <c r="D6" s="17">
        <v>120000</v>
      </c>
      <c r="E6" s="27">
        <v>0.45</v>
      </c>
      <c r="F6" s="27">
        <v>5.2</v>
      </c>
      <c r="G6" s="27">
        <v>6.5</v>
      </c>
      <c r="H6" s="20">
        <v>0.03</v>
      </c>
    </row>
    <row r="7" spans="1:9" ht="15" customHeight="1" x14ac:dyDescent="0.3">
      <c r="A7" t="s">
        <v>116</v>
      </c>
      <c r="B7" t="s">
        <v>117</v>
      </c>
      <c r="C7" s="17">
        <v>42000</v>
      </c>
      <c r="D7" s="17">
        <v>145000</v>
      </c>
      <c r="E7" s="27">
        <v>0.38</v>
      </c>
      <c r="F7" s="27">
        <v>4.8</v>
      </c>
      <c r="G7" s="27">
        <v>7.2</v>
      </c>
      <c r="H7" s="20">
        <v>0.02</v>
      </c>
    </row>
    <row r="8" spans="1:9" ht="15" customHeight="1" x14ac:dyDescent="0.3">
      <c r="A8" t="s">
        <v>118</v>
      </c>
      <c r="B8" t="s">
        <v>119</v>
      </c>
      <c r="C8" s="17">
        <v>280000</v>
      </c>
      <c r="D8" s="17">
        <v>310000</v>
      </c>
      <c r="E8" s="27">
        <v>0.95</v>
      </c>
      <c r="F8" s="27">
        <v>8.5</v>
      </c>
      <c r="G8" s="27">
        <v>10.5</v>
      </c>
      <c r="H8" s="20">
        <v>0.05</v>
      </c>
    </row>
    <row r="9" spans="1:9" ht="15" customHeight="1" x14ac:dyDescent="0.3">
      <c r="A9" t="s">
        <v>120</v>
      </c>
      <c r="B9" t="s">
        <v>121</v>
      </c>
      <c r="C9" s="17">
        <v>95000</v>
      </c>
      <c r="D9" s="17">
        <v>98000</v>
      </c>
      <c r="E9" s="27">
        <v>1.2</v>
      </c>
      <c r="F9" s="27">
        <v>14.5</v>
      </c>
      <c r="G9" s="27">
        <v>22</v>
      </c>
      <c r="H9" s="20">
        <v>0.28000000000000003</v>
      </c>
    </row>
    <row r="10" spans="1:9" ht="15" customHeight="1" x14ac:dyDescent="0.3">
      <c r="A10" t="s">
        <v>122</v>
      </c>
      <c r="B10" t="s">
        <v>123</v>
      </c>
      <c r="C10" s="17">
        <v>18000</v>
      </c>
      <c r="D10" s="17">
        <v>19500</v>
      </c>
      <c r="E10" s="27">
        <v>1.8</v>
      </c>
      <c r="F10" s="27">
        <v>32</v>
      </c>
      <c r="G10" s="27">
        <v>-1</v>
      </c>
      <c r="H10" s="20">
        <v>0.35</v>
      </c>
    </row>
    <row r="11" spans="1:9" ht="15" customHeight="1" x14ac:dyDescent="0.3">
      <c r="A11" t="s">
        <v>124</v>
      </c>
      <c r="B11" t="s">
        <v>125</v>
      </c>
      <c r="C11" s="17">
        <v>12000</v>
      </c>
      <c r="D11" s="17">
        <v>13500</v>
      </c>
      <c r="E11" s="27">
        <v>2.5</v>
      </c>
      <c r="F11" s="27">
        <v>-1</v>
      </c>
      <c r="G11" s="27">
        <v>-1</v>
      </c>
      <c r="H11" s="20">
        <v>0.45</v>
      </c>
    </row>
    <row r="12" spans="1:9" ht="15" customHeight="1" x14ac:dyDescent="0.3">
      <c r="A12" t="s">
        <v>126</v>
      </c>
      <c r="B12" t="s">
        <v>127</v>
      </c>
      <c r="C12" s="17">
        <v>8000</v>
      </c>
      <c r="D12" s="17">
        <v>9200</v>
      </c>
      <c r="E12" s="27">
        <v>8.5</v>
      </c>
      <c r="F12" s="27">
        <v>-1</v>
      </c>
      <c r="G12" s="27">
        <v>-1</v>
      </c>
      <c r="H12" s="20">
        <v>0.52</v>
      </c>
    </row>
    <row r="14" spans="1:9" ht="15" customHeight="1" x14ac:dyDescent="0.3">
      <c r="A14" s="18" t="s">
        <v>128</v>
      </c>
      <c r="E14" s="27">
        <f>AVERAGE(E6:E12)</f>
        <v>2.2542857142857144</v>
      </c>
      <c r="F14" s="27">
        <f>AVERAGEIF(F6:F12,"&gt;0")</f>
        <v>13</v>
      </c>
      <c r="G14" s="27">
        <f>AVERAGEIF(G6:G12,"&gt;0")</f>
        <v>11.55</v>
      </c>
      <c r="H14" s="20">
        <f>AVERAGE(H6:H12)</f>
        <v>0.24285714285714285</v>
      </c>
    </row>
    <row r="15" spans="1:9" ht="15" customHeight="1" x14ac:dyDescent="0.3">
      <c r="A15" s="18" t="s">
        <v>129</v>
      </c>
      <c r="E15" s="27">
        <f>MEDIAN(E6:E12)</f>
        <v>1.2</v>
      </c>
      <c r="F15" s="27">
        <f>MEDIAN(F6:F8,F9:F9)</f>
        <v>6.85</v>
      </c>
      <c r="G15" s="27">
        <f>MEDIAN(G6:G8,G9:G9)</f>
        <v>8.85</v>
      </c>
      <c r="H15" s="20">
        <f>MEDIAN(H6:H12)</f>
        <v>0.28000000000000003</v>
      </c>
    </row>
    <row r="16" spans="1:9" ht="15" customHeight="1" x14ac:dyDescent="0.3">
      <c r="A16" s="18" t="s">
        <v>130</v>
      </c>
      <c r="E16" s="27">
        <f>QUARTILE(E6:E12,1)</f>
        <v>0.7</v>
      </c>
      <c r="F16" s="27">
        <f>QUARTILE(F6:F12,1)</f>
        <v>1.9</v>
      </c>
      <c r="G16" s="27">
        <f>QUARTILE(G6:G12,1)</f>
        <v>-1</v>
      </c>
      <c r="H16" s="20"/>
    </row>
    <row r="17" spans="1:9" ht="15" customHeight="1" x14ac:dyDescent="0.3">
      <c r="A17" s="18" t="s">
        <v>131</v>
      </c>
      <c r="E17" s="27">
        <f>QUARTILE(E6:E12,3)</f>
        <v>2.15</v>
      </c>
      <c r="F17" s="27">
        <f>QUARTILE(F6:F12,3)</f>
        <v>11.5</v>
      </c>
      <c r="G17" s="27">
        <f>QUARTILE(G6:G12,3)</f>
        <v>8.85</v>
      </c>
      <c r="H17" s="20"/>
    </row>
    <row r="20" spans="1:9" ht="15" customHeight="1" x14ac:dyDescent="0.3">
      <c r="A20" s="2" t="s">
        <v>132</v>
      </c>
      <c r="B20" s="2"/>
      <c r="C20" s="2"/>
      <c r="D20" s="2"/>
      <c r="E20" s="2"/>
      <c r="F20" s="2"/>
      <c r="G20" s="2"/>
      <c r="H20" s="2"/>
      <c r="I20" s="2"/>
    </row>
    <row r="21" spans="1:9" ht="15" customHeight="1" x14ac:dyDescent="0.3">
      <c r="A21" t="s">
        <v>133</v>
      </c>
      <c r="B21" s="12">
        <f>'3-Statement Model'!B14</f>
        <v>94827</v>
      </c>
    </row>
    <row r="22" spans="1:9" ht="15" customHeight="1" x14ac:dyDescent="0.3">
      <c r="A22" t="s">
        <v>134</v>
      </c>
      <c r="B22" s="12">
        <f>'3-Statement Model'!B20</f>
        <v>29807.86</v>
      </c>
    </row>
    <row r="23" spans="1:9" ht="15" customHeight="1" x14ac:dyDescent="0.3">
      <c r="A23" t="s">
        <v>135</v>
      </c>
      <c r="B23" s="12">
        <f>'3-Statement Model'!B28</f>
        <v>28138.109400000001</v>
      </c>
    </row>
    <row r="24" spans="1:9" ht="15" customHeight="1" x14ac:dyDescent="0.3">
      <c r="A24" t="s">
        <v>136</v>
      </c>
      <c r="B24" s="9">
        <f>8376-44059</f>
        <v>-35683</v>
      </c>
    </row>
    <row r="27" spans="1:9" ht="15" customHeight="1" x14ac:dyDescent="0.3">
      <c r="A27" s="4" t="s">
        <v>137</v>
      </c>
      <c r="B27" s="4"/>
      <c r="C27" s="4"/>
      <c r="D27" s="4"/>
    </row>
    <row r="28" spans="1:9" ht="15" customHeight="1" x14ac:dyDescent="0.3">
      <c r="B28" s="11" t="s">
        <v>11</v>
      </c>
      <c r="C28" s="11" t="s">
        <v>12</v>
      </c>
      <c r="D28" s="11" t="s">
        <v>13</v>
      </c>
    </row>
    <row r="29" spans="1:9" ht="15" customHeight="1" x14ac:dyDescent="0.3">
      <c r="A29" t="s">
        <v>138</v>
      </c>
      <c r="B29" s="28">
        <f>E16</f>
        <v>0.7</v>
      </c>
      <c r="C29" s="28">
        <f>E15</f>
        <v>1.2</v>
      </c>
      <c r="D29" s="28">
        <f>E17</f>
        <v>2.15</v>
      </c>
    </row>
    <row r="30" spans="1:9" ht="15" customHeight="1" x14ac:dyDescent="0.3">
      <c r="A30" t="s">
        <v>139</v>
      </c>
      <c r="B30" s="17">
        <f>B21*B29</f>
        <v>66378.899999999994</v>
      </c>
      <c r="C30" s="17">
        <f>B21*C29</f>
        <v>113792.4</v>
      </c>
      <c r="D30" s="17">
        <f>B21*D29</f>
        <v>203878.05</v>
      </c>
    </row>
    <row r="31" spans="1:9" ht="15" customHeight="1" x14ac:dyDescent="0.3">
      <c r="A31" t="s">
        <v>99</v>
      </c>
      <c r="B31" s="12">
        <f>B24</f>
        <v>-35683</v>
      </c>
      <c r="C31" s="12">
        <f>B24</f>
        <v>-35683</v>
      </c>
      <c r="D31" s="12">
        <f>B24</f>
        <v>-35683</v>
      </c>
    </row>
    <row r="32" spans="1:9" ht="15" customHeight="1" x14ac:dyDescent="0.3">
      <c r="A32" s="18" t="s">
        <v>140</v>
      </c>
      <c r="B32" s="17">
        <f>B30-B31</f>
        <v>102061.9</v>
      </c>
      <c r="C32" s="17">
        <f>C30-C31</f>
        <v>149475.4</v>
      </c>
      <c r="D32" s="17">
        <f>D30-D31</f>
        <v>239561.05</v>
      </c>
    </row>
    <row r="33" spans="1:4" ht="15" customHeight="1" x14ac:dyDescent="0.3">
      <c r="A33" t="s">
        <v>101</v>
      </c>
      <c r="B33" s="12">
        <f>Summary!B8</f>
        <v>3539</v>
      </c>
      <c r="C33" s="12">
        <f>Summary!B8</f>
        <v>3539</v>
      </c>
      <c r="D33" s="12">
        <f>Summary!B8</f>
        <v>3539</v>
      </c>
    </row>
    <row r="34" spans="1:4" ht="15" customHeight="1" x14ac:dyDescent="0.3">
      <c r="A34" s="25" t="s">
        <v>141</v>
      </c>
      <c r="B34" s="17">
        <f>B32/B33</f>
        <v>28.839191862107938</v>
      </c>
      <c r="C34" s="17">
        <f>C32/C33</f>
        <v>42.236620514269568</v>
      </c>
      <c r="D34" s="17">
        <f>D32/D33</f>
        <v>67.691734953376653</v>
      </c>
    </row>
  </sheetData>
  <mergeCells count="3">
    <mergeCell ref="A4:I4"/>
    <mergeCell ref="A20:I20"/>
    <mergeCell ref="A27:D2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zoomScaleNormal="100" workbookViewId="0">
      <selection activeCell="F8" sqref="F8"/>
    </sheetView>
  </sheetViews>
  <sheetFormatPr defaultColWidth="8.6640625" defaultRowHeight="14.4" x14ac:dyDescent="0.3"/>
  <cols>
    <col min="1" max="8" width="15" customWidth="1"/>
  </cols>
  <sheetData>
    <row r="1" spans="1:10" ht="17.25" customHeight="1" x14ac:dyDescent="0.3">
      <c r="A1" s="6" t="s">
        <v>142</v>
      </c>
    </row>
    <row r="2" spans="1:10" ht="15" customHeight="1" x14ac:dyDescent="0.3">
      <c r="A2" s="7" t="s">
        <v>143</v>
      </c>
    </row>
    <row r="4" spans="1:10" ht="15" customHeight="1" x14ac:dyDescent="0.3">
      <c r="A4" s="4" t="s">
        <v>144</v>
      </c>
      <c r="B4" s="4"/>
      <c r="C4" s="4"/>
      <c r="D4" s="4"/>
      <c r="E4" s="4"/>
      <c r="F4" s="4"/>
      <c r="G4" s="4"/>
      <c r="H4" s="4"/>
      <c r="I4" s="4"/>
      <c r="J4" s="4"/>
    </row>
    <row r="5" spans="1:10" ht="27.75" customHeight="1" x14ac:dyDescent="0.3">
      <c r="A5" s="22" t="s">
        <v>145</v>
      </c>
      <c r="B5" s="22" t="s">
        <v>146</v>
      </c>
      <c r="C5" s="22" t="s">
        <v>147</v>
      </c>
      <c r="D5" s="22" t="s">
        <v>148</v>
      </c>
      <c r="E5" s="22" t="s">
        <v>149</v>
      </c>
      <c r="F5" s="22" t="s">
        <v>150</v>
      </c>
      <c r="G5" s="22" t="s">
        <v>151</v>
      </c>
      <c r="H5" s="22" t="s">
        <v>152</v>
      </c>
    </row>
    <row r="6" spans="1:10" ht="15" customHeight="1" x14ac:dyDescent="0.3">
      <c r="A6" t="s">
        <v>153</v>
      </c>
      <c r="B6" t="s">
        <v>154</v>
      </c>
      <c r="C6" t="s">
        <v>155</v>
      </c>
      <c r="D6" s="17">
        <v>18000</v>
      </c>
      <c r="E6" s="27">
        <v>6.5</v>
      </c>
      <c r="F6" s="27">
        <v>28</v>
      </c>
      <c r="G6" s="20">
        <v>0.35</v>
      </c>
      <c r="H6" s="17">
        <v>500</v>
      </c>
    </row>
    <row r="7" spans="1:10" ht="15" customHeight="1" x14ac:dyDescent="0.3">
      <c r="A7" t="s">
        <v>156</v>
      </c>
      <c r="B7" t="s">
        <v>157</v>
      </c>
      <c r="C7" t="s">
        <v>115</v>
      </c>
      <c r="D7" s="17">
        <v>12000</v>
      </c>
      <c r="E7" s="27">
        <v>8.1999999999999993</v>
      </c>
      <c r="F7" s="27">
        <v>35</v>
      </c>
      <c r="G7" s="20">
        <v>0.28000000000000003</v>
      </c>
      <c r="H7" s="17">
        <v>300</v>
      </c>
    </row>
    <row r="8" spans="1:10" ht="15" customHeight="1" x14ac:dyDescent="0.3">
      <c r="A8" t="s">
        <v>158</v>
      </c>
      <c r="B8" t="s">
        <v>159</v>
      </c>
      <c r="C8" t="s">
        <v>160</v>
      </c>
      <c r="D8" s="17">
        <v>4000</v>
      </c>
      <c r="E8" s="27">
        <v>5.5</v>
      </c>
      <c r="F8" s="27">
        <v>-1</v>
      </c>
      <c r="G8" s="20">
        <v>0.2</v>
      </c>
      <c r="H8" s="17">
        <v>150</v>
      </c>
    </row>
    <row r="9" spans="1:10" ht="15" customHeight="1" x14ac:dyDescent="0.3">
      <c r="A9" t="s">
        <v>161</v>
      </c>
      <c r="B9" t="s">
        <v>162</v>
      </c>
      <c r="C9" t="s">
        <v>163</v>
      </c>
      <c r="D9" s="17">
        <v>13000</v>
      </c>
      <c r="E9" s="27">
        <v>12.5</v>
      </c>
      <c r="F9" s="27">
        <v>-1</v>
      </c>
      <c r="G9" s="20">
        <v>0.42</v>
      </c>
      <c r="H9" s="17">
        <v>400</v>
      </c>
    </row>
    <row r="10" spans="1:10" ht="15" customHeight="1" x14ac:dyDescent="0.3">
      <c r="A10" t="s">
        <v>164</v>
      </c>
      <c r="B10" t="s">
        <v>165</v>
      </c>
      <c r="C10" t="s">
        <v>166</v>
      </c>
      <c r="D10" s="17">
        <v>1300</v>
      </c>
      <c r="E10" s="27">
        <v>4.8</v>
      </c>
      <c r="F10" s="27">
        <v>-1</v>
      </c>
      <c r="G10" s="20">
        <v>0.38</v>
      </c>
      <c r="H10" s="17">
        <v>200</v>
      </c>
    </row>
    <row r="11" spans="1:10" ht="15" customHeight="1" x14ac:dyDescent="0.3">
      <c r="A11" t="s">
        <v>167</v>
      </c>
      <c r="B11" t="s">
        <v>168</v>
      </c>
      <c r="C11" t="s">
        <v>169</v>
      </c>
      <c r="D11" s="17">
        <v>4000</v>
      </c>
      <c r="E11" s="27">
        <v>7.2</v>
      </c>
      <c r="F11" s="27">
        <v>-1</v>
      </c>
      <c r="G11" s="20">
        <v>0.3</v>
      </c>
      <c r="H11" s="17">
        <v>250</v>
      </c>
    </row>
    <row r="13" spans="1:10" ht="15" customHeight="1" x14ac:dyDescent="0.3">
      <c r="A13" s="18" t="s">
        <v>128</v>
      </c>
      <c r="E13" s="27">
        <f>AVERAGE(E6:E11)</f>
        <v>7.45</v>
      </c>
      <c r="F13" s="27">
        <f>AVERAGE(F6:F11)</f>
        <v>9.8333333333333339</v>
      </c>
      <c r="G13" s="20">
        <f>AVERAGE(G6:G11)</f>
        <v>0.32166666666666666</v>
      </c>
    </row>
    <row r="14" spans="1:10" ht="15" customHeight="1" x14ac:dyDescent="0.3">
      <c r="A14" s="18" t="s">
        <v>129</v>
      </c>
      <c r="E14" s="27">
        <f>MEDIAN(E6:E11)</f>
        <v>6.85</v>
      </c>
      <c r="F14" s="27">
        <f>MEDIAN(F6:F11)</f>
        <v>-1</v>
      </c>
      <c r="G14" s="20">
        <f>MEDIAN(G6:G11)</f>
        <v>0.32499999999999996</v>
      </c>
    </row>
    <row r="17" spans="1:8" ht="15" customHeight="1" x14ac:dyDescent="0.3">
      <c r="A17" s="2" t="s">
        <v>170</v>
      </c>
      <c r="B17" s="2"/>
      <c r="C17" s="2"/>
      <c r="D17" s="2"/>
      <c r="E17" s="2"/>
      <c r="F17" s="2"/>
      <c r="G17" s="2"/>
      <c r="H17" s="2"/>
    </row>
    <row r="18" spans="1:8" ht="15" customHeight="1" x14ac:dyDescent="0.3">
      <c r="A18" t="s">
        <v>133</v>
      </c>
      <c r="B18" s="12">
        <f>'3-Statement Model'!B14</f>
        <v>94827</v>
      </c>
    </row>
    <row r="19" spans="1:8" ht="15" customHeight="1" x14ac:dyDescent="0.3">
      <c r="A19" t="s">
        <v>136</v>
      </c>
      <c r="B19" s="9">
        <f>8376-44059</f>
        <v>-35683</v>
      </c>
    </row>
    <row r="22" spans="1:8" ht="15" customHeight="1" x14ac:dyDescent="0.3">
      <c r="A22" s="4" t="s">
        <v>137</v>
      </c>
      <c r="B22" s="4"/>
      <c r="C22" s="4"/>
      <c r="D22" s="4"/>
    </row>
    <row r="23" spans="1:8" ht="15" customHeight="1" x14ac:dyDescent="0.3">
      <c r="B23" s="11" t="s">
        <v>11</v>
      </c>
      <c r="C23" s="11" t="s">
        <v>12</v>
      </c>
      <c r="D23" s="11" t="s">
        <v>13</v>
      </c>
    </row>
    <row r="24" spans="1:8" ht="15" customHeight="1" x14ac:dyDescent="0.3">
      <c r="A24" t="s">
        <v>138</v>
      </c>
      <c r="B24" s="27">
        <f>E13*0.8</f>
        <v>5.9600000000000009</v>
      </c>
      <c r="C24" s="27">
        <f>E14</f>
        <v>6.85</v>
      </c>
      <c r="D24" s="27">
        <f>E13*1.2</f>
        <v>8.94</v>
      </c>
    </row>
    <row r="25" spans="1:8" ht="15" customHeight="1" x14ac:dyDescent="0.3">
      <c r="A25" t="s">
        <v>139</v>
      </c>
      <c r="B25" s="17">
        <f>B18*B24</f>
        <v>565168.92000000004</v>
      </c>
      <c r="C25" s="17">
        <f>B18*C24</f>
        <v>649564.94999999995</v>
      </c>
      <c r="D25" s="17">
        <f>B18*D24</f>
        <v>847753.38</v>
      </c>
    </row>
    <row r="26" spans="1:8" ht="15" customHeight="1" x14ac:dyDescent="0.3">
      <c r="A26" t="s">
        <v>99</v>
      </c>
      <c r="B26" s="12">
        <f>B19</f>
        <v>-35683</v>
      </c>
      <c r="C26" s="12">
        <f>B19</f>
        <v>-35683</v>
      </c>
      <c r="D26" s="12">
        <f>B19</f>
        <v>-35683</v>
      </c>
    </row>
    <row r="27" spans="1:8" ht="15" customHeight="1" x14ac:dyDescent="0.3">
      <c r="A27" t="s">
        <v>171</v>
      </c>
      <c r="B27" s="17">
        <v>0</v>
      </c>
      <c r="C27" s="17">
        <v>0</v>
      </c>
      <c r="D27" s="17">
        <v>0</v>
      </c>
    </row>
    <row r="28" spans="1:8" ht="15" customHeight="1" x14ac:dyDescent="0.3">
      <c r="A28" s="18" t="s">
        <v>140</v>
      </c>
      <c r="B28" s="17">
        <f>B25-B26</f>
        <v>600851.92000000004</v>
      </c>
      <c r="C28" s="17">
        <f>C25-C26</f>
        <v>685247.95</v>
      </c>
      <c r="D28" s="17">
        <f>D25-D26</f>
        <v>883436.38</v>
      </c>
    </row>
    <row r="29" spans="1:8" ht="15" customHeight="1" x14ac:dyDescent="0.3">
      <c r="A29" t="s">
        <v>101</v>
      </c>
      <c r="B29" s="12">
        <f>Summary!B8</f>
        <v>3539</v>
      </c>
      <c r="C29" s="12">
        <f>Summary!B8</f>
        <v>3539</v>
      </c>
      <c r="D29" s="12">
        <f>Summary!B8</f>
        <v>3539</v>
      </c>
    </row>
    <row r="30" spans="1:8" ht="15" customHeight="1" x14ac:dyDescent="0.3">
      <c r="A30" s="25" t="s">
        <v>141</v>
      </c>
      <c r="B30" s="17">
        <f>B28/B29</f>
        <v>169.78014128284826</v>
      </c>
      <c r="C30" s="17">
        <f>C28/C29</f>
        <v>193.62756428369593</v>
      </c>
      <c r="D30" s="17">
        <f>D28/D29</f>
        <v>249.62881604973157</v>
      </c>
    </row>
  </sheetData>
  <mergeCells count="3">
    <mergeCell ref="A4:J4"/>
    <mergeCell ref="A17:H17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6"/>
  <sheetViews>
    <sheetView topLeftCell="A24" zoomScaleNormal="100" workbookViewId="0"/>
  </sheetViews>
  <sheetFormatPr defaultColWidth="8.6640625" defaultRowHeight="14.4" x14ac:dyDescent="0.3"/>
  <cols>
    <col min="1" max="7" width="16" customWidth="1"/>
  </cols>
  <sheetData>
    <row r="1" spans="1:5" ht="17.25" customHeight="1" x14ac:dyDescent="0.3">
      <c r="A1" s="6" t="s">
        <v>172</v>
      </c>
    </row>
    <row r="3" spans="1:5" ht="15" customHeight="1" x14ac:dyDescent="0.3">
      <c r="A3" s="3" t="s">
        <v>173</v>
      </c>
      <c r="B3" s="3"/>
      <c r="C3" s="3"/>
      <c r="D3" s="3"/>
    </row>
    <row r="4" spans="1:5" ht="15" customHeight="1" x14ac:dyDescent="0.3">
      <c r="A4" t="s">
        <v>174</v>
      </c>
      <c r="B4" s="9">
        <v>350</v>
      </c>
    </row>
    <row r="5" spans="1:5" ht="15" customHeight="1" x14ac:dyDescent="0.3">
      <c r="A5" t="s">
        <v>101</v>
      </c>
      <c r="B5" s="29">
        <f>Summary!B8</f>
        <v>3539</v>
      </c>
    </row>
    <row r="6" spans="1:5" ht="15" customHeight="1" x14ac:dyDescent="0.3">
      <c r="A6" t="s">
        <v>175</v>
      </c>
      <c r="B6" s="17">
        <f>B4*B5</f>
        <v>1238650</v>
      </c>
    </row>
    <row r="7" spans="1:5" ht="15" customHeight="1" x14ac:dyDescent="0.3">
      <c r="A7" t="s">
        <v>176</v>
      </c>
      <c r="B7" s="17">
        <f>B6*0.02</f>
        <v>24773</v>
      </c>
    </row>
    <row r="8" spans="1:5" ht="15" customHeight="1" x14ac:dyDescent="0.3">
      <c r="A8" s="18" t="s">
        <v>177</v>
      </c>
      <c r="B8" s="17">
        <f>B6+B7</f>
        <v>1263423</v>
      </c>
    </row>
    <row r="10" spans="1:5" ht="15" customHeight="1" x14ac:dyDescent="0.3">
      <c r="A10" s="4" t="s">
        <v>178</v>
      </c>
      <c r="B10" s="4"/>
      <c r="C10" s="4"/>
      <c r="D10" s="4"/>
    </row>
    <row r="11" spans="1:5" ht="15" customHeight="1" x14ac:dyDescent="0.3">
      <c r="A11" t="s">
        <v>179</v>
      </c>
      <c r="B11" s="21">
        <v>0.4</v>
      </c>
    </row>
    <row r="12" spans="1:5" ht="15" customHeight="1" x14ac:dyDescent="0.3">
      <c r="A12" t="s">
        <v>180</v>
      </c>
      <c r="B12" s="17">
        <f>B8*B11</f>
        <v>505369.2</v>
      </c>
    </row>
    <row r="13" spans="1:5" ht="15" customHeight="1" x14ac:dyDescent="0.3">
      <c r="A13" s="18" t="s">
        <v>181</v>
      </c>
      <c r="B13" s="17">
        <f>B8-B12</f>
        <v>758053.8</v>
      </c>
    </row>
    <row r="16" spans="1:5" ht="15" customHeight="1" x14ac:dyDescent="0.3">
      <c r="A16" s="4" t="s">
        <v>182</v>
      </c>
      <c r="B16" s="4"/>
      <c r="C16" s="4"/>
      <c r="D16" s="4"/>
      <c r="E16" s="4"/>
    </row>
    <row r="17" spans="1:6" ht="15" customHeight="1" x14ac:dyDescent="0.3">
      <c r="A17" s="11" t="s">
        <v>183</v>
      </c>
      <c r="B17" s="11" t="s">
        <v>184</v>
      </c>
      <c r="C17" s="11" t="s">
        <v>185</v>
      </c>
      <c r="D17" s="11" t="s">
        <v>186</v>
      </c>
      <c r="E17" s="11" t="s">
        <v>187</v>
      </c>
    </row>
    <row r="18" spans="1:6" ht="15" customHeight="1" x14ac:dyDescent="0.3">
      <c r="A18" t="s">
        <v>188</v>
      </c>
      <c r="B18" s="17">
        <f>B13*0.5</f>
        <v>379026.9</v>
      </c>
      <c r="C18" s="20">
        <f>B18/B13</f>
        <v>0.5</v>
      </c>
      <c r="D18" s="20">
        <v>6.5000000000000002E-2</v>
      </c>
      <c r="E18">
        <v>7</v>
      </c>
    </row>
    <row r="19" spans="1:6" ht="15" customHeight="1" x14ac:dyDescent="0.3">
      <c r="A19" t="s">
        <v>189</v>
      </c>
      <c r="B19" s="17">
        <f>B13*0.3</f>
        <v>227416.14</v>
      </c>
      <c r="C19" s="20">
        <f>B19/B13</f>
        <v>0.3</v>
      </c>
      <c r="D19" s="20">
        <v>8.5000000000000006E-2</v>
      </c>
      <c r="E19">
        <v>8</v>
      </c>
    </row>
    <row r="20" spans="1:6" ht="15" customHeight="1" x14ac:dyDescent="0.3">
      <c r="A20" t="s">
        <v>190</v>
      </c>
      <c r="B20" s="17">
        <f>B13*0.2</f>
        <v>151610.76</v>
      </c>
      <c r="C20" s="20">
        <f>B20/B13</f>
        <v>0.2</v>
      </c>
      <c r="D20" s="20">
        <v>0.11</v>
      </c>
      <c r="E20">
        <v>10</v>
      </c>
    </row>
    <row r="21" spans="1:6" ht="15" customHeight="1" x14ac:dyDescent="0.3">
      <c r="A21" s="18" t="s">
        <v>40</v>
      </c>
      <c r="B21" s="17">
        <f>SUM(B18:B20)</f>
        <v>758053.8</v>
      </c>
      <c r="C21" s="20"/>
    </row>
    <row r="24" spans="1:6" ht="15" customHeight="1" x14ac:dyDescent="0.3">
      <c r="A24" s="4" t="s">
        <v>191</v>
      </c>
      <c r="B24" s="4"/>
      <c r="C24" s="4"/>
      <c r="D24" s="4"/>
      <c r="E24" s="4"/>
      <c r="F24" s="4"/>
    </row>
    <row r="25" spans="1:6" ht="15" customHeight="1" x14ac:dyDescent="0.3">
      <c r="B25" s="11" t="s">
        <v>94</v>
      </c>
      <c r="C25" s="11" t="s">
        <v>95</v>
      </c>
      <c r="D25" s="11" t="s">
        <v>96</v>
      </c>
    </row>
    <row r="26" spans="1:6" ht="15" customHeight="1" x14ac:dyDescent="0.3">
      <c r="A26" t="s">
        <v>192</v>
      </c>
      <c r="B26" s="8">
        <v>15</v>
      </c>
      <c r="C26" s="8">
        <v>18</v>
      </c>
      <c r="D26" s="8">
        <v>22</v>
      </c>
    </row>
    <row r="27" spans="1:6" ht="15" customHeight="1" x14ac:dyDescent="0.3">
      <c r="A27" t="s">
        <v>92</v>
      </c>
      <c r="B27" s="12">
        <f>'3-Statement Model'!G20</f>
        <v>70134.627493249427</v>
      </c>
      <c r="C27" s="12">
        <f>'3-Statement Model'!G20</f>
        <v>70134.627493249427</v>
      </c>
      <c r="D27" s="12">
        <f>'3-Statement Model'!G20</f>
        <v>70134.627493249427</v>
      </c>
    </row>
    <row r="28" spans="1:6" ht="15" customHeight="1" x14ac:dyDescent="0.3">
      <c r="A28" t="s">
        <v>193</v>
      </c>
      <c r="B28" s="17">
        <f>B26*B27</f>
        <v>1052019.4123987413</v>
      </c>
      <c r="C28" s="17">
        <f>C26*C27</f>
        <v>1262423.2948784898</v>
      </c>
      <c r="D28" s="17">
        <f>D26*D27</f>
        <v>1542961.8048514873</v>
      </c>
    </row>
    <row r="29" spans="1:6" ht="15" customHeight="1" x14ac:dyDescent="0.3">
      <c r="A29" t="s">
        <v>194</v>
      </c>
      <c r="B29" s="8">
        <v>20000</v>
      </c>
      <c r="C29" s="8">
        <v>15000</v>
      </c>
      <c r="D29" s="8">
        <v>10000</v>
      </c>
    </row>
    <row r="30" spans="1:6" ht="15" customHeight="1" x14ac:dyDescent="0.3">
      <c r="A30" s="18" t="s">
        <v>195</v>
      </c>
      <c r="B30" s="17">
        <f>B28-B29</f>
        <v>1032019.4123987413</v>
      </c>
      <c r="C30" s="17">
        <f>C28-C29</f>
        <v>1247423.2948784898</v>
      </c>
      <c r="D30" s="17">
        <f>D28-D29</f>
        <v>1532961.8048514873</v>
      </c>
    </row>
    <row r="32" spans="1:6" ht="15" customHeight="1" x14ac:dyDescent="0.3">
      <c r="A32" s="4" t="s">
        <v>196</v>
      </c>
      <c r="B32" s="4"/>
      <c r="C32" s="4"/>
      <c r="D32" s="4"/>
    </row>
    <row r="33" spans="1:7" ht="15" customHeight="1" x14ac:dyDescent="0.3">
      <c r="A33" t="s">
        <v>197</v>
      </c>
      <c r="B33" s="12">
        <f>B12</f>
        <v>505369.2</v>
      </c>
      <c r="C33" s="12">
        <f>B12</f>
        <v>505369.2</v>
      </c>
      <c r="D33" s="12">
        <f>B12</f>
        <v>505369.2</v>
      </c>
    </row>
    <row r="34" spans="1:7" ht="15" customHeight="1" x14ac:dyDescent="0.3">
      <c r="A34" t="s">
        <v>198</v>
      </c>
      <c r="B34" s="12">
        <f>B30</f>
        <v>1032019.4123987413</v>
      </c>
      <c r="C34" s="12">
        <f>C30</f>
        <v>1247423.2948784898</v>
      </c>
      <c r="D34" s="12">
        <f>D30</f>
        <v>1532961.8048514873</v>
      </c>
    </row>
    <row r="35" spans="1:7" ht="15" customHeight="1" x14ac:dyDescent="0.3">
      <c r="A35" s="18" t="s">
        <v>199</v>
      </c>
      <c r="B35" s="27">
        <f>B34/B33</f>
        <v>2.042109832571398</v>
      </c>
      <c r="C35" s="27">
        <f>C34/C33</f>
        <v>2.4683405614716722</v>
      </c>
      <c r="D35" s="27">
        <f>D34/D33</f>
        <v>3.033350281045001</v>
      </c>
    </row>
    <row r="36" spans="1:7" ht="15" customHeight="1" x14ac:dyDescent="0.3">
      <c r="A36" s="18" t="s">
        <v>200</v>
      </c>
      <c r="B36" s="20">
        <f>((B35)^(1/5))-1</f>
        <v>0.15349527340531921</v>
      </c>
      <c r="C36" s="20">
        <f>((C35)^(1/5))-1</f>
        <v>0.19806675176695765</v>
      </c>
      <c r="D36" s="20">
        <f>((D35)^(1/5))-1</f>
        <v>0.2484884035634447</v>
      </c>
    </row>
    <row r="39" spans="1:7" ht="15" customHeight="1" x14ac:dyDescent="0.3">
      <c r="A39" s="4" t="s">
        <v>201</v>
      </c>
      <c r="B39" s="4"/>
      <c r="C39" s="4"/>
      <c r="D39" s="4"/>
      <c r="E39" s="4"/>
      <c r="F39" s="4"/>
      <c r="G39" s="4"/>
    </row>
    <row r="40" spans="1:7" ht="15" customHeight="1" x14ac:dyDescent="0.3">
      <c r="A40" s="11" t="s">
        <v>202</v>
      </c>
      <c r="B40" s="11">
        <v>2026</v>
      </c>
      <c r="C40" s="11">
        <v>2027</v>
      </c>
      <c r="D40" s="11">
        <v>2028</v>
      </c>
      <c r="E40" s="11">
        <v>2029</v>
      </c>
      <c r="F40" s="11">
        <v>2030</v>
      </c>
    </row>
    <row r="41" spans="1:7" ht="15" customHeight="1" x14ac:dyDescent="0.3">
      <c r="A41" t="s">
        <v>45</v>
      </c>
      <c r="B41" s="17">
        <f>'3-Statement Model'!C38</f>
        <v>4262.5825589999968</v>
      </c>
      <c r="C41" s="17">
        <f>'3-Statement Model'!D38</f>
        <v>7964.0022728999938</v>
      </c>
      <c r="D41" s="17">
        <f>'3-Statement Model'!E38</f>
        <v>12934.100819053499</v>
      </c>
      <c r="E41" s="17">
        <f>'3-Statement Model'!F38</f>
        <v>17645.590684937026</v>
      </c>
      <c r="F41" s="17">
        <f>'3-Statement Model'!G38</f>
        <v>21165.472711903727</v>
      </c>
    </row>
    <row r="42" spans="1:7" ht="15" customHeight="1" x14ac:dyDescent="0.3">
      <c r="A42" t="s">
        <v>203</v>
      </c>
      <c r="B42" s="17">
        <f>-B13*0.05</f>
        <v>-37902.69</v>
      </c>
      <c r="C42" s="17">
        <f>-B13*0.05</f>
        <v>-37902.69</v>
      </c>
      <c r="D42" s="17">
        <f>-B13*0.05</f>
        <v>-37902.69</v>
      </c>
      <c r="E42" s="17">
        <f>-B13*0.05</f>
        <v>-37902.69</v>
      </c>
      <c r="F42" s="17">
        <f>-B13*0.05</f>
        <v>-37902.69</v>
      </c>
    </row>
    <row r="43" spans="1:7" ht="15" customHeight="1" x14ac:dyDescent="0.3">
      <c r="A43" t="s">
        <v>204</v>
      </c>
      <c r="B43" s="17">
        <f>B41+B42</f>
        <v>-33640.107441000007</v>
      </c>
      <c r="C43" s="17">
        <f>C41+C42</f>
        <v>-29938.687727100008</v>
      </c>
      <c r="D43" s="17">
        <f>D41+D42</f>
        <v>-24968.589180946503</v>
      </c>
      <c r="E43" s="17">
        <f>E41+E42</f>
        <v>-20257.099315062977</v>
      </c>
      <c r="F43" s="17">
        <f>F41+F42</f>
        <v>-16737.217288096275</v>
      </c>
    </row>
    <row r="44" spans="1:7" ht="15" customHeight="1" x14ac:dyDescent="0.3">
      <c r="A44" t="s">
        <v>205</v>
      </c>
      <c r="B44" s="17">
        <f>B43*0.5</f>
        <v>-16820.053720500004</v>
      </c>
      <c r="C44" s="17">
        <f>C43*0.5</f>
        <v>-14969.343863550004</v>
      </c>
      <c r="D44" s="17">
        <f>D43*0.5</f>
        <v>-12484.294590473251</v>
      </c>
      <c r="E44" s="17">
        <f>E43*0.5</f>
        <v>-10128.549657531488</v>
      </c>
      <c r="F44" s="17">
        <f>F43*0.5</f>
        <v>-8368.6086440481376</v>
      </c>
    </row>
    <row r="45" spans="1:7" ht="15" customHeight="1" x14ac:dyDescent="0.3">
      <c r="A45" s="18" t="s">
        <v>206</v>
      </c>
      <c r="B45" s="17">
        <f>B42+B44</f>
        <v>-54722.743720500002</v>
      </c>
      <c r="C45" s="17">
        <f>C42+C44</f>
        <v>-52872.033863550008</v>
      </c>
      <c r="D45" s="17">
        <f>D42+D44</f>
        <v>-50386.98459047325</v>
      </c>
      <c r="E45" s="17">
        <f>E42+E44</f>
        <v>-48031.239657531492</v>
      </c>
      <c r="F45" s="17">
        <f>F42+F44</f>
        <v>-46271.29864404814</v>
      </c>
    </row>
    <row r="46" spans="1:7" ht="15" customHeight="1" x14ac:dyDescent="0.3">
      <c r="A46" t="s">
        <v>207</v>
      </c>
      <c r="B46" s="17">
        <f>B13+B45</f>
        <v>703331.05627950002</v>
      </c>
      <c r="C46" s="17">
        <f>B46+C45</f>
        <v>650459.02241594996</v>
      </c>
      <c r="D46" s="17">
        <f>C46+D45</f>
        <v>600072.03782547673</v>
      </c>
      <c r="E46" s="17">
        <f>D46+E45</f>
        <v>552040.79816794524</v>
      </c>
      <c r="F46" s="17">
        <f>E46+F45</f>
        <v>505769.49952389707</v>
      </c>
    </row>
  </sheetData>
  <mergeCells count="6">
    <mergeCell ref="A39:G39"/>
    <mergeCell ref="A3:D3"/>
    <mergeCell ref="A10:D10"/>
    <mergeCell ref="A16:E16"/>
    <mergeCell ref="A24:F24"/>
    <mergeCell ref="A32:D3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3"/>
  <sheetViews>
    <sheetView zoomScaleNormal="100" workbookViewId="0">
      <selection activeCell="F39" sqref="F39"/>
    </sheetView>
  </sheetViews>
  <sheetFormatPr defaultColWidth="8.6640625" defaultRowHeight="14.4" x14ac:dyDescent="0.3"/>
  <cols>
    <col min="1" max="6" width="18" customWidth="1"/>
  </cols>
  <sheetData>
    <row r="1" spans="1:6" ht="17.25" customHeight="1" x14ac:dyDescent="0.3">
      <c r="A1" s="6" t="s">
        <v>208</v>
      </c>
    </row>
    <row r="3" spans="1:6" ht="15" customHeight="1" x14ac:dyDescent="0.3">
      <c r="A3" s="3" t="s">
        <v>209</v>
      </c>
      <c r="B3" s="3"/>
      <c r="C3" s="3"/>
      <c r="D3" s="3"/>
    </row>
    <row r="4" spans="1:6" ht="15" customHeight="1" x14ac:dyDescent="0.3">
      <c r="A4" t="s">
        <v>210</v>
      </c>
    </row>
    <row r="5" spans="1:6" ht="15" customHeight="1" x14ac:dyDescent="0.3">
      <c r="A5" t="s">
        <v>211</v>
      </c>
    </row>
    <row r="6" spans="1:6" ht="15" customHeight="1" x14ac:dyDescent="0.3">
      <c r="A6" t="s">
        <v>212</v>
      </c>
    </row>
    <row r="7" spans="1:6" ht="15" customHeight="1" x14ac:dyDescent="0.3">
      <c r="A7" t="s">
        <v>213</v>
      </c>
    </row>
    <row r="8" spans="1:6" ht="15" customHeight="1" x14ac:dyDescent="0.3">
      <c r="A8" t="s">
        <v>214</v>
      </c>
    </row>
    <row r="10" spans="1:6" ht="15" customHeight="1" x14ac:dyDescent="0.3">
      <c r="A10" s="4" t="s">
        <v>215</v>
      </c>
      <c r="B10" s="4"/>
      <c r="C10" s="4"/>
      <c r="D10" s="4"/>
      <c r="E10" s="4"/>
      <c r="F10" s="4"/>
    </row>
    <row r="11" spans="1:6" ht="15" customHeight="1" x14ac:dyDescent="0.3">
      <c r="B11" s="11" t="s">
        <v>216</v>
      </c>
      <c r="C11" s="11" t="s">
        <v>217</v>
      </c>
      <c r="D11" s="11" t="s">
        <v>218</v>
      </c>
      <c r="E11" s="11" t="s">
        <v>219</v>
      </c>
      <c r="F11" s="11" t="s">
        <v>220</v>
      </c>
    </row>
    <row r="12" spans="1:6" ht="15" customHeight="1" x14ac:dyDescent="0.3">
      <c r="A12" t="s">
        <v>221</v>
      </c>
      <c r="B12" s="17">
        <v>500</v>
      </c>
      <c r="C12" s="17">
        <v>1200</v>
      </c>
      <c r="D12" s="17">
        <v>2000</v>
      </c>
      <c r="E12" s="17">
        <v>2800</v>
      </c>
      <c r="F12" s="17">
        <v>3500</v>
      </c>
    </row>
    <row r="13" spans="1:6" ht="15" customHeight="1" x14ac:dyDescent="0.3">
      <c r="A13" t="s">
        <v>222</v>
      </c>
      <c r="B13" s="17">
        <v>300</v>
      </c>
      <c r="C13" s="17">
        <v>800</v>
      </c>
      <c r="D13" s="17">
        <v>1500</v>
      </c>
      <c r="E13" s="17">
        <v>2200</v>
      </c>
      <c r="F13" s="17">
        <v>3000</v>
      </c>
    </row>
    <row r="14" spans="1:6" ht="15" customHeight="1" x14ac:dyDescent="0.3">
      <c r="A14" t="s">
        <v>223</v>
      </c>
      <c r="B14" s="17">
        <v>200</v>
      </c>
      <c r="C14" s="17">
        <v>500</v>
      </c>
      <c r="D14" s="17">
        <v>900</v>
      </c>
      <c r="E14" s="17">
        <v>1400</v>
      </c>
      <c r="F14" s="17">
        <v>2000</v>
      </c>
    </row>
    <row r="15" spans="1:6" ht="15" customHeight="1" x14ac:dyDescent="0.3">
      <c r="A15" s="18" t="s">
        <v>224</v>
      </c>
      <c r="B15" s="17">
        <f>SUM(B12:B14)</f>
        <v>1000</v>
      </c>
      <c r="C15" s="17">
        <f>SUM(C12:C14)</f>
        <v>2500</v>
      </c>
      <c r="D15" s="17">
        <f>SUM(D12:D14)</f>
        <v>4400</v>
      </c>
      <c r="E15" s="17">
        <f>SUM(E12:E14)</f>
        <v>6400</v>
      </c>
      <c r="F15" s="17">
        <f>SUM(F12:F14)</f>
        <v>8500</v>
      </c>
    </row>
    <row r="18" spans="1:6" ht="15" customHeight="1" x14ac:dyDescent="0.3">
      <c r="A18" s="4" t="s">
        <v>225</v>
      </c>
      <c r="B18" s="4"/>
      <c r="C18" s="4"/>
      <c r="D18" s="4"/>
      <c r="E18" s="4"/>
      <c r="F18" s="4"/>
    </row>
    <row r="19" spans="1:6" ht="15" customHeight="1" x14ac:dyDescent="0.3">
      <c r="A19" t="s">
        <v>226</v>
      </c>
      <c r="B19" s="17">
        <v>400</v>
      </c>
      <c r="C19" s="17">
        <v>900</v>
      </c>
      <c r="D19" s="17">
        <v>1300</v>
      </c>
      <c r="E19" s="17">
        <v>1600</v>
      </c>
      <c r="F19" s="17">
        <v>1800</v>
      </c>
    </row>
    <row r="20" spans="1:6" ht="15" customHeight="1" x14ac:dyDescent="0.3">
      <c r="A20" t="s">
        <v>227</v>
      </c>
      <c r="B20" s="17">
        <v>600</v>
      </c>
      <c r="C20" s="17">
        <v>1200</v>
      </c>
      <c r="D20" s="17">
        <v>1500</v>
      </c>
      <c r="E20" s="17">
        <v>1700</v>
      </c>
      <c r="F20" s="17">
        <v>1800</v>
      </c>
    </row>
    <row r="21" spans="1:6" ht="15" customHeight="1" x14ac:dyDescent="0.3">
      <c r="A21" t="s">
        <v>228</v>
      </c>
      <c r="B21" s="17">
        <v>300</v>
      </c>
      <c r="C21" s="17">
        <v>700</v>
      </c>
      <c r="D21" s="17">
        <v>1100</v>
      </c>
      <c r="E21" s="17">
        <v>1500</v>
      </c>
      <c r="F21" s="17">
        <v>1800</v>
      </c>
    </row>
    <row r="22" spans="1:6" ht="15" customHeight="1" x14ac:dyDescent="0.3">
      <c r="A22" t="s">
        <v>229</v>
      </c>
      <c r="B22" s="17">
        <v>200</v>
      </c>
      <c r="C22" s="17">
        <v>400</v>
      </c>
      <c r="D22" s="17">
        <v>600</v>
      </c>
      <c r="E22" s="17">
        <v>800</v>
      </c>
      <c r="F22" s="17">
        <v>1000</v>
      </c>
    </row>
    <row r="23" spans="1:6" ht="15" customHeight="1" x14ac:dyDescent="0.3">
      <c r="A23" s="18" t="s">
        <v>230</v>
      </c>
      <c r="B23" s="17">
        <f>SUM(B19:B22)</f>
        <v>1500</v>
      </c>
      <c r="C23" s="17">
        <f>SUM(C19:C22)</f>
        <v>3200</v>
      </c>
      <c r="D23" s="17">
        <f>SUM(D19:D22)</f>
        <v>4500</v>
      </c>
      <c r="E23" s="17">
        <f>SUM(E19:E22)</f>
        <v>5600</v>
      </c>
      <c r="F23" s="17">
        <f>SUM(F19:F22)</f>
        <v>6400</v>
      </c>
    </row>
    <row r="25" spans="1:6" ht="15" customHeight="1" x14ac:dyDescent="0.3">
      <c r="A25" s="18" t="s">
        <v>231</v>
      </c>
      <c r="B25" s="17">
        <f>B15*0.2+B23</f>
        <v>1700</v>
      </c>
      <c r="C25" s="17">
        <f>C15*0.2+C23</f>
        <v>3700</v>
      </c>
      <c r="D25" s="17">
        <f>D15*0.2+D23</f>
        <v>5380</v>
      </c>
      <c r="E25" s="17">
        <f>E15*0.2+E23</f>
        <v>6880</v>
      </c>
      <c r="F25" s="17">
        <f>F15*0.2+F23</f>
        <v>8100</v>
      </c>
    </row>
    <row r="28" spans="1:6" ht="15" customHeight="1" x14ac:dyDescent="0.3">
      <c r="A28" s="4" t="s">
        <v>232</v>
      </c>
      <c r="B28" s="4"/>
      <c r="C28" s="4"/>
      <c r="D28" s="4"/>
      <c r="E28" s="4"/>
      <c r="F28" s="4"/>
    </row>
    <row r="29" spans="1:6" ht="15" customHeight="1" x14ac:dyDescent="0.3">
      <c r="A29" t="s">
        <v>233</v>
      </c>
      <c r="B29" s="9">
        <v>8.5</v>
      </c>
    </row>
    <row r="30" spans="1:6" ht="15" customHeight="1" x14ac:dyDescent="0.3">
      <c r="A30" t="s">
        <v>234</v>
      </c>
      <c r="B30" s="12">
        <f>'3-Statement Model'!C28/Summary!B8</f>
        <v>6.1553460748799091</v>
      </c>
    </row>
    <row r="31" spans="1:6" ht="15" customHeight="1" x14ac:dyDescent="0.3">
      <c r="A31" t="s">
        <v>174</v>
      </c>
      <c r="B31" s="9">
        <v>350</v>
      </c>
    </row>
    <row r="32" spans="1:6" ht="15" customHeight="1" x14ac:dyDescent="0.3">
      <c r="A32" t="s">
        <v>235</v>
      </c>
      <c r="B32" s="29">
        <f>Summary!B8</f>
        <v>3539</v>
      </c>
    </row>
    <row r="33" spans="1:2" ht="15" customHeight="1" x14ac:dyDescent="0.3">
      <c r="A33" t="s">
        <v>236</v>
      </c>
      <c r="B33" s="8">
        <v>2</v>
      </c>
    </row>
    <row r="34" spans="1:2" ht="15" customHeight="1" x14ac:dyDescent="0.3">
      <c r="A34" t="s">
        <v>237</v>
      </c>
      <c r="B34" s="30">
        <f>B32*B33</f>
        <v>7078</v>
      </c>
    </row>
    <row r="35" spans="1:2" ht="15" customHeight="1" x14ac:dyDescent="0.3">
      <c r="A35" t="s">
        <v>238</v>
      </c>
      <c r="B35" s="8">
        <v>1000</v>
      </c>
    </row>
    <row r="36" spans="1:2" ht="15" customHeight="1" x14ac:dyDescent="0.3">
      <c r="A36" s="18" t="s">
        <v>239</v>
      </c>
      <c r="B36" s="30">
        <f>B34+B35</f>
        <v>8078</v>
      </c>
    </row>
    <row r="38" spans="1:2" ht="15" customHeight="1" x14ac:dyDescent="0.3">
      <c r="A38" s="18" t="s">
        <v>240</v>
      </c>
    </row>
    <row r="39" spans="1:2" ht="15" customHeight="1" x14ac:dyDescent="0.3">
      <c r="A39" t="s">
        <v>241</v>
      </c>
      <c r="B39" s="17">
        <f>B29</f>
        <v>8.5</v>
      </c>
    </row>
    <row r="40" spans="1:2" ht="15" customHeight="1" x14ac:dyDescent="0.3">
      <c r="A40" t="s">
        <v>242</v>
      </c>
      <c r="B40" s="17">
        <f>(B30*B32)/B36</f>
        <v>2.6966786034909629</v>
      </c>
    </row>
    <row r="41" spans="1:2" ht="15" customHeight="1" x14ac:dyDescent="0.3">
      <c r="A41" t="s">
        <v>243</v>
      </c>
      <c r="B41" s="17">
        <f>(B25*(1-0.21))/B36</f>
        <v>0.16625402327308739</v>
      </c>
    </row>
    <row r="42" spans="1:2" ht="15" customHeight="1" x14ac:dyDescent="0.3">
      <c r="A42" s="18" t="s">
        <v>244</v>
      </c>
      <c r="B42" s="17">
        <f>B39+B40+B41</f>
        <v>11.362932626764049</v>
      </c>
    </row>
    <row r="44" spans="1:2" ht="15" customHeight="1" x14ac:dyDescent="0.3">
      <c r="A44" s="18" t="s">
        <v>245</v>
      </c>
      <c r="B44" s="20">
        <f>B42/B29-1</f>
        <v>0.33681560314871173</v>
      </c>
    </row>
    <row r="47" spans="1:2" ht="15" customHeight="1" x14ac:dyDescent="0.3"/>
    <row r="48" spans="1:2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</sheetData>
  <mergeCells count="4">
    <mergeCell ref="A3:D3"/>
    <mergeCell ref="A10:F10"/>
    <mergeCell ref="A18:F18"/>
    <mergeCell ref="A28:F28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1"/>
  <sheetViews>
    <sheetView tabSelected="1" topLeftCell="A14" zoomScale="101" zoomScaleNormal="100" workbookViewId="0">
      <selection activeCell="D45" sqref="D45"/>
    </sheetView>
  </sheetViews>
  <sheetFormatPr defaultColWidth="8.6640625" defaultRowHeight="14.4" x14ac:dyDescent="0.3"/>
  <cols>
    <col min="1" max="6" width="20" customWidth="1"/>
  </cols>
  <sheetData>
    <row r="1" spans="1:6" ht="19.5" customHeight="1" x14ac:dyDescent="0.35">
      <c r="A1" s="5" t="s">
        <v>246</v>
      </c>
    </row>
    <row r="2" spans="1:6" ht="17.25" customHeight="1" x14ac:dyDescent="0.3">
      <c r="A2" s="6" t="s">
        <v>247</v>
      </c>
    </row>
    <row r="3" spans="1:6" ht="15" customHeight="1" x14ac:dyDescent="0.3">
      <c r="A3" s="7" t="s">
        <v>248</v>
      </c>
    </row>
    <row r="5" spans="1:6" ht="17.25" customHeight="1" x14ac:dyDescent="0.3">
      <c r="A5" s="18" t="s">
        <v>249</v>
      </c>
      <c r="B5" s="31" t="s">
        <v>250</v>
      </c>
    </row>
    <row r="6" spans="1:6" ht="17.25" customHeight="1" x14ac:dyDescent="0.3">
      <c r="A6" s="18" t="s">
        <v>251</v>
      </c>
      <c r="B6" s="32">
        <f>(DCF!C50+Comps!C34)/2</f>
        <v>80.961134051994023</v>
      </c>
    </row>
    <row r="7" spans="1:6" ht="15" customHeight="1" x14ac:dyDescent="0.3">
      <c r="A7" s="18" t="s">
        <v>252</v>
      </c>
      <c r="B7" s="14">
        <f>Summary!B7</f>
        <v>350</v>
      </c>
    </row>
    <row r="8" spans="1:6" ht="15" customHeight="1" x14ac:dyDescent="0.3">
      <c r="A8" s="18" t="s">
        <v>253</v>
      </c>
      <c r="B8" s="15">
        <f>B6/B7-1</f>
        <v>-0.76868247413715995</v>
      </c>
    </row>
    <row r="11" spans="1:6" ht="15" customHeight="1" x14ac:dyDescent="0.3">
      <c r="A11" s="1" t="s">
        <v>254</v>
      </c>
      <c r="B11" s="1"/>
      <c r="C11" s="1"/>
      <c r="D11" s="1"/>
      <c r="E11" s="1"/>
      <c r="F11" s="1"/>
    </row>
    <row r="12" spans="1:6" ht="15" customHeight="1" x14ac:dyDescent="0.3">
      <c r="A12" t="s">
        <v>255</v>
      </c>
    </row>
    <row r="13" spans="1:6" ht="15" customHeight="1" x14ac:dyDescent="0.3">
      <c r="A13" t="s">
        <v>256</v>
      </c>
    </row>
    <row r="14" spans="1:6" ht="15" customHeight="1" x14ac:dyDescent="0.3">
      <c r="A14" t="s">
        <v>257</v>
      </c>
    </row>
    <row r="15" spans="1:6" ht="15" customHeight="1" x14ac:dyDescent="0.3">
      <c r="A15" t="s">
        <v>258</v>
      </c>
    </row>
    <row r="17" spans="1:6" ht="15" customHeight="1" x14ac:dyDescent="0.3">
      <c r="A17" t="s">
        <v>259</v>
      </c>
    </row>
    <row r="18" spans="1:6" ht="15" customHeight="1" x14ac:dyDescent="0.3">
      <c r="A18" t="s">
        <v>260</v>
      </c>
    </row>
    <row r="19" spans="1:6" ht="15" customHeight="1" x14ac:dyDescent="0.3">
      <c r="A19" t="s">
        <v>261</v>
      </c>
    </row>
    <row r="20" spans="1:6" ht="15" customHeight="1" x14ac:dyDescent="0.3">
      <c r="A20" t="s">
        <v>262</v>
      </c>
    </row>
    <row r="21" spans="1:6" ht="15" customHeight="1" x14ac:dyDescent="0.3">
      <c r="A21" t="s">
        <v>263</v>
      </c>
    </row>
    <row r="24" spans="1:6" ht="15" customHeight="1" x14ac:dyDescent="0.3">
      <c r="A24" s="1" t="s">
        <v>264</v>
      </c>
      <c r="B24" s="1"/>
      <c r="C24" s="1"/>
      <c r="D24" s="1"/>
      <c r="E24" s="1"/>
      <c r="F24" s="1"/>
    </row>
    <row r="26" spans="1:6" ht="15" customHeight="1" x14ac:dyDescent="0.3">
      <c r="A26" s="18" t="s">
        <v>265</v>
      </c>
    </row>
    <row r="27" spans="1:6" ht="15" customHeight="1" x14ac:dyDescent="0.3">
      <c r="A27" t="s">
        <v>266</v>
      </c>
    </row>
    <row r="28" spans="1:6" ht="15" customHeight="1" x14ac:dyDescent="0.3">
      <c r="A28" t="s">
        <v>267</v>
      </c>
    </row>
    <row r="29" spans="1:6" ht="15" customHeight="1" x14ac:dyDescent="0.3">
      <c r="A29" t="s">
        <v>268</v>
      </c>
    </row>
    <row r="30" spans="1:6" ht="15" customHeight="1" x14ac:dyDescent="0.3">
      <c r="A30" t="s">
        <v>269</v>
      </c>
    </row>
    <row r="31" spans="1:6" ht="15" customHeight="1" x14ac:dyDescent="0.3">
      <c r="A31" t="s">
        <v>270</v>
      </c>
    </row>
    <row r="33" spans="1:1" ht="15" customHeight="1" x14ac:dyDescent="0.3">
      <c r="A33" s="18" t="s">
        <v>271</v>
      </c>
    </row>
    <row r="34" spans="1:1" ht="15" customHeight="1" x14ac:dyDescent="0.3">
      <c r="A34" t="s">
        <v>272</v>
      </c>
    </row>
    <row r="35" spans="1:1" ht="15" customHeight="1" x14ac:dyDescent="0.3">
      <c r="A35" t="s">
        <v>273</v>
      </c>
    </row>
    <row r="36" spans="1:1" ht="15" customHeight="1" x14ac:dyDescent="0.3">
      <c r="A36" t="s">
        <v>274</v>
      </c>
    </row>
    <row r="37" spans="1:1" ht="15" customHeight="1" x14ac:dyDescent="0.3">
      <c r="A37" t="s">
        <v>275</v>
      </c>
    </row>
    <row r="38" spans="1:1" ht="15" customHeight="1" x14ac:dyDescent="0.3">
      <c r="A38" t="s">
        <v>276</v>
      </c>
    </row>
    <row r="41" spans="1:1" ht="15" customHeight="1" x14ac:dyDescent="0.3"/>
    <row r="43" spans="1:1" ht="15" customHeight="1" x14ac:dyDescent="0.3"/>
    <row r="44" spans="1:1" ht="15" customHeight="1" x14ac:dyDescent="0.3"/>
    <row r="45" spans="1:1" ht="15" customHeight="1" x14ac:dyDescent="0.3"/>
    <row r="46" spans="1:1" ht="15" customHeight="1" x14ac:dyDescent="0.3"/>
    <row r="49" spans="1:6" ht="15" customHeight="1" x14ac:dyDescent="0.3">
      <c r="A49" s="1" t="s">
        <v>277</v>
      </c>
      <c r="B49" s="1"/>
      <c r="C49" s="1"/>
      <c r="D49" s="1"/>
      <c r="E49" s="1"/>
      <c r="F49" s="1"/>
    </row>
    <row r="51" spans="1:6" ht="15" customHeight="1" x14ac:dyDescent="0.3">
      <c r="A51" s="11" t="s">
        <v>278</v>
      </c>
      <c r="B51" s="11" t="s">
        <v>279</v>
      </c>
      <c r="C51" s="11" t="s">
        <v>52</v>
      </c>
      <c r="D51" s="11" t="s">
        <v>53</v>
      </c>
    </row>
    <row r="52" spans="1:6" ht="15" customHeight="1" x14ac:dyDescent="0.3">
      <c r="A52" t="s">
        <v>280</v>
      </c>
      <c r="B52" s="12">
        <f>'Historical Financials'!F9</f>
        <v>96849</v>
      </c>
      <c r="C52" s="12">
        <f>'3-Statement Model'!C14</f>
        <v>109507.42000000001</v>
      </c>
      <c r="D52" s="12">
        <f>'3-Statement Model'!D14</f>
        <v>130306.51299999999</v>
      </c>
    </row>
    <row r="53" spans="1:6" ht="15" customHeight="1" x14ac:dyDescent="0.3">
      <c r="A53" t="s">
        <v>281</v>
      </c>
      <c r="B53" s="12">
        <f>'Historical Financials'!F21</f>
        <v>14596</v>
      </c>
      <c r="C53" s="12">
        <f>'3-Statement Model'!C20</f>
        <v>35042.374400000001</v>
      </c>
      <c r="D53" s="12">
        <f>'3-Statement Model'!D20</f>
        <v>43001.149289999994</v>
      </c>
    </row>
    <row r="54" spans="1:6" ht="15" customHeight="1" x14ac:dyDescent="0.3">
      <c r="A54" t="s">
        <v>282</v>
      </c>
      <c r="B54" s="12">
        <f>'Historical Financials'!F18</f>
        <v>3794</v>
      </c>
      <c r="C54" s="12">
        <f>'3-Statement Model'!C28</f>
        <v>21783.769758999999</v>
      </c>
      <c r="D54" s="12">
        <f>'3-Statement Model'!D28</f>
        <v>27509.979222899994</v>
      </c>
    </row>
    <row r="55" spans="1:6" ht="15" customHeight="1" x14ac:dyDescent="0.3">
      <c r="A55" t="s">
        <v>283</v>
      </c>
      <c r="B55" s="12">
        <f>'Historical Financials'!F35</f>
        <v>6220</v>
      </c>
      <c r="C55" s="12">
        <f>'3-Statement Model'!C38</f>
        <v>4262.5825589999968</v>
      </c>
      <c r="D55" s="12">
        <f>'3-Statement Model'!D38</f>
        <v>7964.0022728999938</v>
      </c>
    </row>
    <row r="56" spans="1:6" ht="15" customHeight="1" x14ac:dyDescent="0.3">
      <c r="A56" t="s">
        <v>284</v>
      </c>
      <c r="B56" s="33">
        <f>B53/B52</f>
        <v>0.15070883540356639</v>
      </c>
      <c r="C56" s="33">
        <f>C53/C52</f>
        <v>0.31999999999999995</v>
      </c>
      <c r="D56" s="33">
        <f>D53/D52</f>
        <v>0.32999999999999996</v>
      </c>
    </row>
    <row r="59" spans="1:6" ht="15" customHeight="1" x14ac:dyDescent="0.3">
      <c r="A59" s="1" t="s">
        <v>285</v>
      </c>
      <c r="B59" s="1"/>
      <c r="C59" s="1"/>
      <c r="D59" s="1"/>
      <c r="E59" s="1"/>
      <c r="F59" s="1"/>
    </row>
    <row r="61" spans="1:6" ht="15" customHeight="1" x14ac:dyDescent="0.3">
      <c r="A61" t="s">
        <v>286</v>
      </c>
    </row>
    <row r="62" spans="1:6" ht="15" customHeight="1" x14ac:dyDescent="0.3">
      <c r="A62" t="s">
        <v>287</v>
      </c>
    </row>
    <row r="63" spans="1:6" ht="15" customHeight="1" x14ac:dyDescent="0.3">
      <c r="A63" t="s">
        <v>288</v>
      </c>
    </row>
    <row r="64" spans="1:6" ht="15" customHeight="1" x14ac:dyDescent="0.3">
      <c r="A64" t="s">
        <v>289</v>
      </c>
    </row>
    <row r="66" spans="1:1" ht="15" customHeight="1" x14ac:dyDescent="0.3">
      <c r="A66" s="18" t="s">
        <v>290</v>
      </c>
    </row>
    <row r="67" spans="1:1" ht="15" customHeight="1" x14ac:dyDescent="0.3">
      <c r="A67" t="s">
        <v>291</v>
      </c>
    </row>
    <row r="68" spans="1:1" ht="15" customHeight="1" x14ac:dyDescent="0.3">
      <c r="A68" t="s">
        <v>292</v>
      </c>
    </row>
    <row r="69" spans="1:1" ht="15" customHeight="1" x14ac:dyDescent="0.3">
      <c r="A69" t="s">
        <v>293</v>
      </c>
    </row>
    <row r="70" spans="1:1" ht="15" customHeight="1" x14ac:dyDescent="0.3">
      <c r="A70" t="s">
        <v>294</v>
      </c>
    </row>
    <row r="71" spans="1:1" ht="15" customHeight="1" x14ac:dyDescent="0.3">
      <c r="A71" t="s">
        <v>295</v>
      </c>
    </row>
  </sheetData>
  <mergeCells count="4">
    <mergeCell ref="A11:F11"/>
    <mergeCell ref="A24:F24"/>
    <mergeCell ref="A49:F49"/>
    <mergeCell ref="A59:F59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7"/>
  <sheetViews>
    <sheetView zoomScaleNormal="100" workbookViewId="0"/>
  </sheetViews>
  <sheetFormatPr defaultColWidth="8.6640625" defaultRowHeight="14.4" x14ac:dyDescent="0.3"/>
  <cols>
    <col min="1" max="8" width="15" customWidth="1"/>
  </cols>
  <sheetData>
    <row r="1" spans="1:8" ht="17.25" customHeight="1" x14ac:dyDescent="0.3">
      <c r="A1" s="6" t="s">
        <v>296</v>
      </c>
    </row>
    <row r="3" spans="1:8" ht="15" customHeight="1" x14ac:dyDescent="0.3">
      <c r="A3" s="4" t="s">
        <v>297</v>
      </c>
      <c r="B3" s="4"/>
      <c r="C3" s="4"/>
      <c r="D3" s="4"/>
      <c r="E3" s="4"/>
      <c r="F3" s="4"/>
      <c r="G3" s="4"/>
      <c r="H3" s="4"/>
    </row>
    <row r="4" spans="1:8" ht="15" customHeight="1" x14ac:dyDescent="0.3">
      <c r="B4" s="18" t="s">
        <v>298</v>
      </c>
      <c r="C4" s="15">
        <v>0.12</v>
      </c>
      <c r="D4" s="15">
        <v>0.14000000000000001</v>
      </c>
      <c r="E4" s="15">
        <v>0.16</v>
      </c>
      <c r="F4" s="15">
        <v>0.17499999999999999</v>
      </c>
      <c r="G4" s="15">
        <v>0.19</v>
      </c>
      <c r="H4" s="15">
        <v>0.21</v>
      </c>
    </row>
    <row r="5" spans="1:8" ht="15" customHeight="1" x14ac:dyDescent="0.3">
      <c r="A5" s="18" t="s">
        <v>299</v>
      </c>
      <c r="B5" s="15">
        <v>2.5000000000000001E-2</v>
      </c>
      <c r="C5" s="17">
        <f>(SUM(DCF!B23:F23)+((DCF!F19*(1+0.025))/(0.12-0.025))*DCF!F22-8376+44059)/Summary!B8</f>
        <v>52.834525344613354</v>
      </c>
      <c r="D5" s="17">
        <f>(SUM(DCF!B23:F23)+((DCF!F19*(1+0.025))/(0.14-0.025))*DCF!F22-8376+44059)/Summary!B8</f>
        <v>47.336474137668709</v>
      </c>
      <c r="E5" s="17">
        <f>(SUM(DCF!B23:F23)+((DCF!F19*(1+0.025))/(0.16-0.025))*DCF!F22-8376+44059)/Summary!B8</f>
        <v>43.467475140189144</v>
      </c>
      <c r="F5" s="17">
        <f>(SUM(DCF!B23:F23)+((DCF!F19*(1+0.025))/(0.175-0.025))*DCF!F22-8376+44059)/Summary!B8</f>
        <v>41.242800716638406</v>
      </c>
      <c r="G5" s="17">
        <f>(SUM(DCF!B23:F23)+((DCF!F19*(1+0.025))/(0.19-0.025))*DCF!F22-8376+44059)/Summary!B8</f>
        <v>39.422612551915066</v>
      </c>
      <c r="H5" s="17">
        <f>(SUM(DCF!B23:F23)+((DCF!F19*(1+0.025))/(0.21-0.025))*DCF!F22-8376+44059)/Summary!B8</f>
        <v>37.454841563024971</v>
      </c>
    </row>
    <row r="6" spans="1:8" ht="15" customHeight="1" x14ac:dyDescent="0.3">
      <c r="B6" s="15">
        <v>0.03</v>
      </c>
      <c r="C6" s="17">
        <f>(SUM(DCF!B23:F23)+((DCF!F19*(1+0.03))/(0.12-0.03))*DCF!F22-8376+44059)/Summary!B8</f>
        <v>54.753628313324654</v>
      </c>
      <c r="D6" s="17">
        <f>(SUM(DCF!B23:F23)+((DCF!F19*(1+0.03))/(0.14-0.03))*DCF!F22-8376+44059)/Summary!B8</f>
        <v>48.65673787538956</v>
      </c>
      <c r="E6" s="17">
        <f>(SUM(DCF!B23:F23)+((DCF!F19*(1+0.03))/(0.16-0.03))*DCF!F22-8376+44059)/Summary!B8</f>
        <v>44.435813726049879</v>
      </c>
      <c r="F6" s="17">
        <f>(SUM(DCF!B23:F23)+((DCF!F19*(1+0.03))/(0.175-0.03))*DCF!F22-8376+44059)/Summary!B8</f>
        <v>42.034253434184208</v>
      </c>
      <c r="G6" s="17">
        <f>(SUM(DCF!B23:F23)+((DCF!F19*(1+0.03))/(0.19-0.03))*DCF!F22-8376+44059)/Summary!B8</f>
        <v>40.082985697043348</v>
      </c>
      <c r="H6" s="17">
        <f>(SUM(DCF!B23:F23)+((DCF!F19*(1+0.03))/(0.21-0.03))*DCF!F22-8376+44059)/Summary!B8</f>
        <v>37.987179609003164</v>
      </c>
    </row>
    <row r="7" spans="1:8" ht="15" customHeight="1" x14ac:dyDescent="0.3">
      <c r="B7" s="15">
        <v>3.5000000000000003E-2</v>
      </c>
      <c r="C7" s="17">
        <f>(SUM(DCF!B23:F23)+((DCF!F19*(1+0.035))/(0.12-0.035))*DCF!F22-8376+44059)/Summary!B8</f>
        <v>56.898508101884339</v>
      </c>
      <c r="D7" s="17">
        <f>(SUM(DCF!B23:F23)+((DCF!F19*(1+0.035))/(0.14-0.035))*DCF!F22-8376+44059)/Summary!B8</f>
        <v>50.102741016702865</v>
      </c>
      <c r="E7" s="17">
        <f>(SUM(DCF!B23:F23)+((DCF!F19*(1+0.035))/(0.16-0.035))*DCF!F22-8376+44059)/Summary!B8</f>
        <v>45.481619398779486</v>
      </c>
      <c r="F7" s="17">
        <f>(SUM(DCF!B23:F23)+((DCF!F19*(1+0.035))/(0.175-0.035))*DCF!F22-8376+44059)/Summary!B8</f>
        <v>42.882238488697574</v>
      </c>
      <c r="G7" s="17">
        <f>(SUM(DCF!B23:F23)+((DCF!F19*(1+0.035))/(0.19-0.035))*DCF!F22-8376+44059)/Summary!B8</f>
        <v>40.785963561212171</v>
      </c>
      <c r="H7" s="17">
        <f>(SUM(DCF!B23:F23)+((DCF!F19*(1+0.035))/(0.21-0.035))*DCF!F22-8376+44059)/Summary!B8</f>
        <v>38.549936971894397</v>
      </c>
    </row>
    <row r="8" spans="1:8" ht="15" customHeight="1" x14ac:dyDescent="0.3">
      <c r="B8" s="15">
        <v>0.04</v>
      </c>
      <c r="C8" s="17">
        <f>(SUM(DCF!B23:F23)+((DCF!F19*(1+0.04))/(0.12-0.04))*DCF!F22-8376+44059)/Summary!B8</f>
        <v>59.311497864013994</v>
      </c>
      <c r="D8" s="17">
        <f>(SUM(DCF!B23:F23)+((DCF!F19*(1+0.04))/(0.14-0.04))*DCF!F22-8376+44059)/Summary!B8</f>
        <v>51.693344472147523</v>
      </c>
      <c r="E8" s="17">
        <f>(SUM(DCF!B23:F23)+((DCF!F19*(1+0.04))/(0.16-0.04))*DCF!F22-8376+44059)/Summary!B8</f>
        <v>46.614575544236544</v>
      </c>
      <c r="F8" s="17">
        <f>(SUM(DCF!B23:F23)+((DCF!F19*(1+0.04))/(0.175-0.04))*DCF!F22-8376+44059)/Summary!B8</f>
        <v>43.793037250952679</v>
      </c>
      <c r="G8" s="17">
        <f>(SUM(DCF!B23:F23)+((DCF!F19*(1+0.04))/(0.19-0.04))*DCF!F22-8376+44059)/Summary!B8</f>
        <v>41.535806616325573</v>
      </c>
      <c r="H8" s="17">
        <f>(SUM(DCF!B23:F23)+((DCF!F19*(1+0.04))/(0.21-0.04))*DCF!F22-8376+44059)/Summary!B8</f>
        <v>39.145797709073356</v>
      </c>
    </row>
    <row r="9" spans="1:8" ht="15" customHeight="1" x14ac:dyDescent="0.3">
      <c r="B9" s="15">
        <v>4.4999999999999998E-2</v>
      </c>
      <c r="C9" s="17">
        <f>(SUM(DCF!B23:F23)+((DCF!F19*(1+0.045))/(0.12-0.045))*DCF!F22-8376+44059)/Summary!B8</f>
        <v>62.046219594427583</v>
      </c>
      <c r="D9" s="17">
        <f>(SUM(DCF!B23:F23)+((DCF!F19*(1+0.045))/(0.14-0.045))*DCF!F22-8376+44059)/Summary!B8</f>
        <v>53.451379870270543</v>
      </c>
      <c r="E9" s="17">
        <f>(SUM(DCF!B23:F23)+((DCF!F19*(1+0.045))/(0.16-0.045))*DCF!F22-8376+44059)/Summary!B8</f>
        <v>47.846049615385532</v>
      </c>
      <c r="F9" s="17">
        <f>(SUM(DCF!B23:F23)+((DCF!F19*(1+0.045))/(0.175-0.045))*DCF!F22-8376+44059)/Summary!B8</f>
        <v>44.773897456458165</v>
      </c>
      <c r="G9" s="17">
        <f>(SUM(DCF!B23:F23)+((DCF!F19*(1+0.045))/(0.19-0.045))*DCF!F22-8376+44059)/Summary!B8</f>
        <v>42.337362985584726</v>
      </c>
      <c r="H9" s="17">
        <f>(SUM(DCF!B23:F23)+((DCF!F19*(1+0.045))/(0.21-0.045))*DCF!F22-8376+44059)/Summary!B8</f>
        <v>39.777771218202545</v>
      </c>
    </row>
    <row r="12" spans="1:8" ht="15" customHeight="1" x14ac:dyDescent="0.3">
      <c r="A12" s="4" t="s">
        <v>300</v>
      </c>
      <c r="B12" s="4"/>
      <c r="C12" s="4"/>
      <c r="D12" s="4"/>
      <c r="E12" s="4"/>
      <c r="F12" s="4"/>
      <c r="G12" s="4"/>
      <c r="H12" s="4"/>
    </row>
    <row r="13" spans="1:8" ht="15" customHeight="1" x14ac:dyDescent="0.3">
      <c r="B13" s="18" t="s">
        <v>301</v>
      </c>
      <c r="C13" s="34">
        <v>0.8</v>
      </c>
      <c r="D13" s="34">
        <v>1.2</v>
      </c>
      <c r="E13" s="34">
        <v>1.6</v>
      </c>
      <c r="F13" s="34">
        <v>2</v>
      </c>
      <c r="G13" s="34">
        <v>2.4</v>
      </c>
      <c r="H13" s="34">
        <v>2.8</v>
      </c>
    </row>
    <row r="14" spans="1:8" ht="15" customHeight="1" x14ac:dyDescent="0.3">
      <c r="A14" s="18" t="s">
        <v>302</v>
      </c>
      <c r="B14" s="14">
        <v>90000</v>
      </c>
      <c r="C14" s="17">
        <f>((90000*0.8)-(-35683))/Summary!B8</f>
        <v>30.42752189884148</v>
      </c>
      <c r="D14" s="17">
        <f>((90000*1.2)-(-35683))/Summary!B8</f>
        <v>40.599886973721389</v>
      </c>
      <c r="E14" s="17">
        <f>((90000*1.6)-(-35683))/Summary!B8</f>
        <v>50.772252048601302</v>
      </c>
      <c r="F14" s="17">
        <f>((90000*2)-(-35683))/Summary!B8</f>
        <v>60.944617123481208</v>
      </c>
      <c r="G14" s="17">
        <f>((90000*2.4)-(-35683))/Summary!B8</f>
        <v>71.116982198361114</v>
      </c>
      <c r="H14" s="17">
        <f>((90000*2.8)-(-35683))/Summary!B8</f>
        <v>81.289347273241034</v>
      </c>
    </row>
    <row r="15" spans="1:8" ht="15" customHeight="1" x14ac:dyDescent="0.3">
      <c r="B15" s="14">
        <v>100000</v>
      </c>
      <c r="C15" s="17">
        <f>((100000*0.8)-(-35683))/Summary!B8</f>
        <v>32.688047471037017</v>
      </c>
      <c r="D15" s="17">
        <f>((100000*1.2)-(-35683))/Summary!B8</f>
        <v>43.990675332014696</v>
      </c>
      <c r="E15" s="17">
        <f>((100000*1.6)-(-35683))/Summary!B8</f>
        <v>55.293303192992369</v>
      </c>
      <c r="F15" s="17">
        <f>((100000*2)-(-35683))/Summary!B8</f>
        <v>66.595931053970048</v>
      </c>
      <c r="G15" s="17">
        <f>((100000*2.4)-(-35683))/Summary!B8</f>
        <v>77.898558914947728</v>
      </c>
      <c r="H15" s="17">
        <f>((100000*2.8)-(-35683))/Summary!B8</f>
        <v>89.201186775925407</v>
      </c>
    </row>
    <row r="16" spans="1:8" ht="15" customHeight="1" x14ac:dyDescent="0.3">
      <c r="B16" s="14">
        <v>110000</v>
      </c>
      <c r="C16" s="17">
        <f>((110000*0.8)-(-35683))/Summary!B8</f>
        <v>34.94857304323255</v>
      </c>
      <c r="D16" s="17">
        <f>((110000*1.2)-(-35683))/Summary!B8</f>
        <v>47.381463690307996</v>
      </c>
      <c r="E16" s="17">
        <f>((110000*1.6)-(-35683))/Summary!B8</f>
        <v>59.814354337383442</v>
      </c>
      <c r="F16" s="17">
        <f>((110000*2)-(-35683))/Summary!B8</f>
        <v>72.247244984458888</v>
      </c>
      <c r="G16" s="17">
        <f>((110000*2.4)-(-35683))/Summary!B8</f>
        <v>84.680135631534327</v>
      </c>
      <c r="H16" s="17">
        <f>((110000*2.8)-(-35683))/Summary!B8</f>
        <v>97.11302627860978</v>
      </c>
    </row>
    <row r="17" spans="1:8" ht="15" customHeight="1" x14ac:dyDescent="0.3">
      <c r="B17" s="14">
        <v>120000</v>
      </c>
      <c r="C17" s="17">
        <f>((120000*0.8)-(-35683))/Summary!B8</f>
        <v>37.20909861542809</v>
      </c>
      <c r="D17" s="17">
        <f>((120000*1.2)-(-35683))/Summary!B8</f>
        <v>50.772252048601302</v>
      </c>
      <c r="E17" s="17">
        <f>((120000*1.6)-(-35683))/Summary!B8</f>
        <v>64.335405481774515</v>
      </c>
      <c r="F17" s="17">
        <f>((120000*2)-(-35683))/Summary!B8</f>
        <v>77.898558914947728</v>
      </c>
      <c r="G17" s="17">
        <f>((120000*2.4)-(-35683))/Summary!B8</f>
        <v>91.46171234812094</v>
      </c>
      <c r="H17" s="17">
        <f>((120000*2.8)-(-35683))/Summary!B8</f>
        <v>105.02486578129415</v>
      </c>
    </row>
    <row r="18" spans="1:8" ht="15" customHeight="1" x14ac:dyDescent="0.3">
      <c r="B18" s="14">
        <v>130000</v>
      </c>
      <c r="C18" s="17">
        <f>((130000*0.8)-(-35683))/Summary!B8</f>
        <v>39.469624187623623</v>
      </c>
      <c r="D18" s="17">
        <f>((130000*1.2)-(-35683))/Summary!B8</f>
        <v>54.163040406894602</v>
      </c>
      <c r="E18" s="17">
        <f>((130000*1.6)-(-35683))/Summary!B8</f>
        <v>68.856456626165581</v>
      </c>
      <c r="F18" s="17">
        <f>((130000*2)-(-35683))/Summary!B8</f>
        <v>83.549872845436568</v>
      </c>
      <c r="G18" s="17">
        <f>((130000*2.4)-(-35683))/Summary!B8</f>
        <v>98.24328906470754</v>
      </c>
      <c r="H18" s="17">
        <f>((130000*2.8)-(-35683))/Summary!B8</f>
        <v>112.93670528397853</v>
      </c>
    </row>
    <row r="21" spans="1:8" ht="15" customHeight="1" x14ac:dyDescent="0.3">
      <c r="A21" s="4" t="s">
        <v>303</v>
      </c>
      <c r="B21" s="4"/>
      <c r="C21" s="4"/>
      <c r="D21" s="4"/>
      <c r="E21" s="4"/>
      <c r="F21" s="4"/>
      <c r="G21" s="4"/>
      <c r="H21" s="4"/>
    </row>
    <row r="22" spans="1:8" ht="15" customHeight="1" x14ac:dyDescent="0.3">
      <c r="B22" s="18" t="s">
        <v>304</v>
      </c>
      <c r="C22" s="34">
        <v>14</v>
      </c>
      <c r="D22" s="34">
        <v>16</v>
      </c>
      <c r="E22" s="34">
        <v>18</v>
      </c>
      <c r="F22" s="34">
        <v>20</v>
      </c>
      <c r="G22" s="34">
        <v>22</v>
      </c>
      <c r="H22" s="34">
        <v>24</v>
      </c>
    </row>
    <row r="23" spans="1:8" ht="15" customHeight="1" x14ac:dyDescent="0.3">
      <c r="A23" s="18" t="s">
        <v>305</v>
      </c>
      <c r="B23" s="18">
        <v>3</v>
      </c>
      <c r="C23" s="20">
        <f>(((14*25000-15000)/535680)^(1/3))-1</f>
        <v>-0.14484181204968105</v>
      </c>
      <c r="D23" s="20">
        <f>(((16*25000-15000)/535680)^(1/3))-1</f>
        <v>-0.10425354273860121</v>
      </c>
      <c r="E23" s="20">
        <f>(((18*25000-15000)/535680)^(1/3))-1</f>
        <v>-6.7043757410308991E-2</v>
      </c>
      <c r="F23" s="20">
        <f>(((20*25000-15000)/535680)^(1/3))-1</f>
        <v>-3.2586592111926715E-2</v>
      </c>
      <c r="G23" s="20">
        <f>(((22*25000-15000)/535680)^(1/3))-1</f>
        <v>-4.2331736426048927E-4</v>
      </c>
      <c r="H23" s="20">
        <f>(((24*25000-15000)/535680)^(1/3))-1</f>
        <v>2.9793496312145562E-2</v>
      </c>
    </row>
    <row r="24" spans="1:8" ht="15" customHeight="1" x14ac:dyDescent="0.3">
      <c r="B24" s="18">
        <v>4</v>
      </c>
      <c r="C24" s="20">
        <f>(((14*25000-15000)/535680)^(1/4))-1</f>
        <v>-0.11072753802200253</v>
      </c>
      <c r="D24" s="20">
        <f>(((16*25000-15000)/535680)^(1/4))-1</f>
        <v>-7.925615495042726E-2</v>
      </c>
      <c r="E24" s="20">
        <f>(((18*25000-15000)/535680)^(1/4))-1</f>
        <v>-5.0716447523018071E-2</v>
      </c>
      <c r="F24" s="20">
        <f>(((20*25000-15000)/535680)^(1/4))-1</f>
        <v>-2.4540872897980348E-2</v>
      </c>
      <c r="G24" s="20">
        <f>(((22*25000-15000)/535680)^(1/4))-1</f>
        <v>-3.1750482593340124E-4</v>
      </c>
      <c r="H24" s="20">
        <f>(((24*25000-15000)/535680)^(1/4))-1</f>
        <v>2.2262920892399674E-2</v>
      </c>
    </row>
    <row r="25" spans="1:8" ht="15" customHeight="1" x14ac:dyDescent="0.3">
      <c r="B25" s="18">
        <v>5</v>
      </c>
      <c r="C25" s="20">
        <f>(((14*25000-15000)/535680)^(1/5))-1</f>
        <v>-8.9609169135850708E-2</v>
      </c>
      <c r="D25" s="20">
        <f>(((16*25000-15000)/535680)^(1/5))-1</f>
        <v>-6.392410998428244E-2</v>
      </c>
      <c r="E25" s="20">
        <f>(((18*25000-15000)/535680)^(1/5))-1</f>
        <v>-4.0783225445871985E-2</v>
      </c>
      <c r="F25" s="20">
        <f>(((20*25000-15000)/535680)^(1/5))-1</f>
        <v>-1.9681358114704284E-2</v>
      </c>
      <c r="G25" s="20">
        <f>(((22*25000-15000)/535680)^(1/5))-1</f>
        <v>-2.5401192651630655E-4</v>
      </c>
      <c r="H25" s="20">
        <f>(((24*25000-15000)/535680)^(1/5))-1</f>
        <v>1.7771034538223152E-2</v>
      </c>
    </row>
    <row r="26" spans="1:8" ht="15" customHeight="1" x14ac:dyDescent="0.3">
      <c r="B26" s="18">
        <v>6</v>
      </c>
      <c r="C26" s="20">
        <f>(((14*25000-15000)/535680)^(1/6))-1</f>
        <v>-7.5252365263733689E-2</v>
      </c>
      <c r="D26" s="20">
        <f>(((16*25000-15000)/535680)^(1/6))-1</f>
        <v>-5.356117088245016E-2</v>
      </c>
      <c r="E26" s="20">
        <f>(((18*25000-15000)/535680)^(1/6))-1</f>
        <v>-3.4103399638609866E-2</v>
      </c>
      <c r="F26" s="20">
        <f>(((20*25000-15000)/535680)^(1/6))-1</f>
        <v>-1.6428239583875959E-2</v>
      </c>
      <c r="G26" s="20">
        <f>(((22*25000-15000)/535680)^(1/6))-1</f>
        <v>-2.1168108657143581E-4</v>
      </c>
      <c r="H26" s="20">
        <f>(((24*25000-15000)/535680)^(1/6))-1</f>
        <v>1.4787414344573646E-2</v>
      </c>
    </row>
    <row r="27" spans="1:8" ht="15" customHeight="1" x14ac:dyDescent="0.3">
      <c r="B27" s="18">
        <v>7</v>
      </c>
      <c r="C27" s="20">
        <f>(((14*25000-15000)/535680)^(1/7))-1</f>
        <v>-6.4859096662661875E-2</v>
      </c>
      <c r="D27" s="20">
        <f>(((16*25000-15000)/535680)^(1/7))-1</f>
        <v>-4.6088906045299582E-2</v>
      </c>
      <c r="E27" s="20">
        <f>(((18*25000-15000)/535680)^(1/7))-1</f>
        <v>-2.9303634422222391E-2</v>
      </c>
      <c r="F27" s="20">
        <f>(((20*25000-15000)/535680)^(1/7))-1</f>
        <v>-1.4097976243187649E-2</v>
      </c>
      <c r="G27" s="20">
        <f>(((22*25000-15000)/535680)^(1/7))-1</f>
        <v>-1.81443674969195E-4</v>
      </c>
      <c r="H27" s="20">
        <f>(((24*25000-15000)/535680)^(1/7))-1</f>
        <v>1.2661613593042187E-2</v>
      </c>
    </row>
  </sheetData>
  <mergeCells count="3">
    <mergeCell ref="A3:H3"/>
    <mergeCell ref="A12:H12"/>
    <mergeCell ref="A21:H2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8E784C1856854181F324080B1A0860" ma:contentTypeVersion="14" ma:contentTypeDescription="Create a new document." ma:contentTypeScope="" ma:versionID="3a184ab84fc1e1451e3ad7a98d7f1a1d">
  <xsd:schema xmlns:xsd="http://www.w3.org/2001/XMLSchema" xmlns:xs="http://www.w3.org/2001/XMLSchema" xmlns:p="http://schemas.microsoft.com/office/2006/metadata/properties" xmlns:ns3="58daf142-6bf9-4f20-a4de-e7d7dc4864d5" xmlns:ns4="86b3e982-b293-4699-81e7-c714f52b94fc" targetNamespace="http://schemas.microsoft.com/office/2006/metadata/properties" ma:root="true" ma:fieldsID="9d53dabf5bd90f1a26fb7ed8c9279c79" ns3:_="" ns4:_="">
    <xsd:import namespace="58daf142-6bf9-4f20-a4de-e7d7dc4864d5"/>
    <xsd:import namespace="86b3e982-b293-4699-81e7-c714f52b94f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af142-6bf9-4f20-a4de-e7d7dc4864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3e982-b293-4699-81e7-c714f52b94f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daf142-6bf9-4f20-a4de-e7d7dc4864d5" xsi:nil="true"/>
  </documentManagement>
</p:properties>
</file>

<file path=customXml/itemProps1.xml><?xml version="1.0" encoding="utf-8"?>
<ds:datastoreItem xmlns:ds="http://schemas.openxmlformats.org/officeDocument/2006/customXml" ds:itemID="{0C0AE4E2-2B06-4384-8953-2A822A6A2C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af142-6bf9-4f20-a4de-e7d7dc4864d5"/>
    <ds:schemaRef ds:uri="86b3e982-b293-4699-81e7-c714f52b94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BD9F48-D573-4EFD-9E86-1221A5B19D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C038A4-CDD0-4E9A-88D9-A8FBD16208BF}">
  <ds:schemaRefs>
    <ds:schemaRef ds:uri="86b3e982-b293-4699-81e7-c714f52b94fc"/>
    <ds:schemaRef ds:uri="http://purl.org/dc/terms/"/>
    <ds:schemaRef ds:uri="58daf142-6bf9-4f20-a4de-e7d7dc4864d5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Historical Financials</vt:lpstr>
      <vt:lpstr>3-Statement Model</vt:lpstr>
      <vt:lpstr>DCF</vt:lpstr>
      <vt:lpstr>Comps</vt:lpstr>
      <vt:lpstr>Precedents</vt:lpstr>
      <vt:lpstr>LBO Analysis</vt:lpstr>
      <vt:lpstr>M&amp;A Analysis</vt:lpstr>
      <vt:lpstr>Memo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Regi, Steve</cp:lastModifiedBy>
  <cp:revision>0</cp:revision>
  <dcterms:created xsi:type="dcterms:W3CDTF">2026-02-01T02:34:55Z</dcterms:created>
  <dcterms:modified xsi:type="dcterms:W3CDTF">2026-02-12T04:47:07Z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0x010100DE8E784C1856854181F324080B1A0860</vt:lpwstr>
  </property>
</Properties>
</file>